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בית צלקה" sheetId="1" r:id="rId4"/>
    <sheet state="visible" name="גיליון1" sheetId="2" r:id="rId5"/>
    <sheet state="visible" name="גיליון2" sheetId="3" r:id="rId6"/>
  </sheets>
  <definedNames>
    <definedName hidden="1" localSheetId="0" name="_xlnm._FilterDatabase">'בית צלקה'!$A$1:$AB$84</definedName>
  </definedNames>
  <calcPr/>
  <extLst>
    <ext uri="GoogleSheetsCustomDataVersion2">
      <go:sheetsCustomData xmlns:go="http://customooxmlschemas.google.com/" r:id="rId7" roundtripDataChecksum="qGy+K3f3qdvE5q0kyO8ZMjaT3skbCW4MLvOsKZsL3K0="/>
    </ext>
  </extLst>
</workbook>
</file>

<file path=xl/sharedStrings.xml><?xml version="1.0" encoding="utf-8"?>
<sst xmlns="http://schemas.openxmlformats.org/spreadsheetml/2006/main" count="472" uniqueCount="267">
  <si>
    <t>פריט</t>
  </si>
  <si>
    <t>מידות נדרשות</t>
  </si>
  <si>
    <t>עלות משוערת</t>
  </si>
  <si>
    <t>עלות בפועל</t>
  </si>
  <si>
    <t>הוזמן</t>
  </si>
  <si>
    <t>הגיע</t>
  </si>
  <si>
    <t>הותקן</t>
  </si>
  <si>
    <t>כמות</t>
  </si>
  <si>
    <t>עלות ליחידה</t>
  </si>
  <si>
    <t xml:space="preserve">קישור </t>
  </si>
  <si>
    <t xml:space="preserve">ספק </t>
  </si>
  <si>
    <t>הערות</t>
  </si>
  <si>
    <t xml:space="preserve">סוג מוצר </t>
  </si>
  <si>
    <t xml:space="preserve"> סלון </t>
  </si>
  <si>
    <t xml:space="preserve">ספה לסלון </t>
  </si>
  <si>
    <t>180 שזלונג 240 רוחב</t>
  </si>
  <si>
    <t>✔️</t>
  </si>
  <si>
    <t>https://www.ikea.com/th/en/p/soederhamn-4-seat-sofa-with-chaise-longue-and-open-end-tonerud-grey-s29452119/#content</t>
  </si>
  <si>
    <t>IKEA</t>
  </si>
  <si>
    <t>מחיר כולל לכל ההזמנה מאיקאה</t>
  </si>
  <si>
    <t>ריהוט</t>
  </si>
  <si>
    <t>שולחן סלון</t>
  </si>
  <si>
    <t>https://s.lazada.co.th/s.yKncI</t>
  </si>
  <si>
    <t>LAZADA</t>
  </si>
  <si>
    <t>שטיח</t>
  </si>
  <si>
    <t>200*300</t>
  </si>
  <si>
    <t>https://www.ikea.com/th/th/p/lydersholm-rug-flatwoven-in-outdoor-medium-brown-50495414/#content</t>
  </si>
  <si>
    <t>כורסא</t>
  </si>
  <si>
    <t>https://www.lazada.co.th/products/62-i5532598233-s23527120031.html?dsource=share&amp;laz_share_info=2024006681_0_100_100238316849_2024008681_null&amp;laz_token=7a11806c8875162b138f7727e068b51d&amp;exlaz=e_iqeJxmuQOjPGip8qo24MCSTeQCjDld4siVQ4kY1ODqrCXvTKdNAtBb55%2BgIiSkmNnXkPoNuoMIIpR8IEI%2FLi1U0sC6tUOx2TD3WnASIas1Y%3D&amp;sub_aff_id=social_share&amp;sub_id2=2024006681&amp;sub_id3=100238316849&amp;sub_id6=CPI_EXLAZ</t>
  </si>
  <si>
    <t>שידת טלויזיה</t>
  </si>
  <si>
    <t xml:space="preserve">2-2.5 </t>
  </si>
  <si>
    <t>https://s.lazada.co.th/s.yjXLj</t>
  </si>
  <si>
    <t>מחיר כולל לכל ההזמנה מאינדקס</t>
  </si>
  <si>
    <t>כריות נוי</t>
  </si>
  <si>
    <t>https://www.lazada.co.th/products/caosu-boho-pillow-sham-fringed-pillow-shams-bohemian-fringe-tassel-pillowcase-with-hidden-zipper-square-decor-for-office-couch-living-room-bedroom-car-seat-throw-pillow-cover-sham-i5423505171-s23042041463.html?tradePath=omItm&amp;dsource=share&amp;laz_share_info=2048472216_0_100_100229304698_2048474216_null&amp;laz_token=7ebde3a19e0ea5ad1ddd4568fd3522dd&amp;exlaz=e_iqeJxmuQOjPGip8qo24MCSTeQCjDld4siVQ4kY1ODqrCXvTKdNAtBb55%2BgIiSkmNnXkPoNuoMIIpR8IEI%2FLi1U0sC6tUOx2TD3WnASIas1Y%3D&amp;sub_aff_id=social_share&amp;sub_id2=2048472216&amp;sub_id3=100229304698&amp;sub_id6=CPI_EXLAZ</t>
  </si>
  <si>
    <t xml:space="preserve">מילוי </t>
  </si>
  <si>
    <t>https://www.lazada.co.th/products/30x5040x4045x4550x50cm-solid-cushion-core-head-waist-pillow-inner-pp-cotton-filler-cushion-filling-i4153488951-s16306035845.html?dsource=share&amp;laz_share_info=2024223449_3_6500_100238316849_2024225449_null&amp;laz_token=527fb3db7586d1798830b69d31448bbc&amp;exlaz=e_DVpzZsmZKsbGip8qo24MCSTeQCjDld4siVQ4kY1ODqrZwT6Rq4aTKOqGOBsK%2BQ5zYsqI0lxIHdYKYtks1QxO%2BvzhbjJzFOJtD3WnASIas1Y%3D&amp;sub_aff_id=social_share&amp;sub_id2=2024223449&amp;sub_id3=100238316849&amp;sub_id6=CPI_EXLAZ</t>
  </si>
  <si>
    <t>טלויזיה</t>
  </si>
  <si>
    <t>קיר 5 מטר רוחב ומרחק מהספה 4 מטר</t>
  </si>
  <si>
    <t>https://s.lazada.co.th/s.yjXJr</t>
  </si>
  <si>
    <t>75 אינץ'                  מחיר כולל ביטוח בהובלה, לשים לב למבצעים</t>
  </si>
  <si>
    <t xml:space="preserve">זרוע לטלוויזיה </t>
  </si>
  <si>
    <t>https://s.lazada.co.th/s.yKMkK</t>
  </si>
  <si>
    <t>עציץ גדול</t>
  </si>
  <si>
    <t>משתלה באי</t>
  </si>
  <si>
    <t>קישוטים לקירות</t>
  </si>
  <si>
    <t xml:space="preserve">גוף תאורה לסלון תלוי </t>
  </si>
  <si>
    <t>גדול קוטר 60</t>
  </si>
  <si>
    <t>https://www.lazada.co.th/products/i5177431391-s21956220069.html?dsource=share&amp;laz_share_info=2000970366_0_100_100238316849_2000972366_null&amp;laz_token=edb94afbdb75fe32f2544d1dec434d7d&amp;exlaz=e_iqeJxmuQOjPGip8qo24MCSTeQCjDld4siVQ4kY1ODqrCXvTKdNAtBb55%2BgIiSkmNnXkPoNuoMIIpR8IEI%2FLi1U0sC6tUOx2TD3WnASIas1Y%3D&amp;sub_aff_id=social_share&amp;sub_id2=2000970366&amp;sub_id3=100238316849&amp;sub_id6=CPI_EXLAZ</t>
  </si>
  <si>
    <t xml:space="preserve">תאורה </t>
  </si>
  <si>
    <t>גוף תאורה לסלון קירי</t>
  </si>
  <si>
    <t>https://www.lazada.co.th/products/wabi-sabi-retro-led-e27-wall-sconces-corridor-i5437162747-s23090670829.html?tradePath=omItm&amp;dsource=share&amp;laz_share_info=1998778621_0_100_100238316849_1998780621_null&amp;laz_token=1e3bce9f93386306423a28eac4481e9c&amp;exlaz=e_iqeJxmuQOjPGip8qo24MCSTeQCjDld4siVQ4kY1ODqrCXvTKdNAtBb55%2BgIiSkmNnXkPoNuoMIIpR8IEI%2FLi1U0sC6tUOx2TD3WnASIas1Y%3D&amp;sub_aff_id=social_share&amp;sub_id2=1998778621&amp;sub_id3=100238316849&amp;sub_id6=CPI_EXLAZ</t>
  </si>
  <si>
    <t>lazada</t>
  </si>
  <si>
    <t>או זוג אחר קירי ממה שהוזמן החלטה בשטח</t>
  </si>
  <si>
    <t>פינת אוכל</t>
  </si>
  <si>
    <t xml:space="preserve">שולחן </t>
  </si>
  <si>
    <t xml:space="preserve">2 מטר </t>
  </si>
  <si>
    <t>https://www.indexlivingmall.com/120020646</t>
  </si>
  <si>
    <t>INDEX</t>
  </si>
  <si>
    <t>2.1 מטר</t>
  </si>
  <si>
    <t>שישה כסאות</t>
  </si>
  <si>
    <t>https://www.ikea.com/th/th/p/skogsta-chair-acacia-70544871/</t>
  </si>
  <si>
    <t>גופי תאורה מעל לשולחן</t>
  </si>
  <si>
    <t xml:space="preserve">קוטר 40 </t>
  </si>
  <si>
    <t>https://s.lazada.co.th/s.yj5Sj</t>
  </si>
  <si>
    <t>מחיר כולל משלוח</t>
  </si>
  <si>
    <t>מטבח</t>
  </si>
  <si>
    <t>מקרר</t>
  </si>
  <si>
    <t>מקס 110*67</t>
  </si>
  <si>
    <t>לבדוק מבצעים</t>
  </si>
  <si>
    <t xml:space="preserve">מוצרי חשמל </t>
  </si>
  <si>
    <t>מדיח סמי בילד אין</t>
  </si>
  <si>
    <t>60*59 עומק</t>
  </si>
  <si>
    <t>https://s.lazada.co.th/s.Bhn6R</t>
  </si>
  <si>
    <t>homepro</t>
  </si>
  <si>
    <t xml:space="preserve">לוודא שעדיין במבצע סביב המחיר הזה </t>
  </si>
  <si>
    <t>מיקרו</t>
  </si>
  <si>
    <t>https://www.homepro.co.th/p/1295https://www.homepro.co.th/p/129518118</t>
  </si>
  <si>
    <t>פירוט כלי אוכל:</t>
  </si>
  <si>
    <t xml:space="preserve">הוזמן </t>
  </si>
  <si>
    <t>תנור בילד אין</t>
  </si>
  <si>
    <t>60*60</t>
  </si>
  <si>
    <t>https://www.lazada.co.th/products/built-in-ovens-emv-675ms-i4222395318-s16636473728.html?dsource=share&amp;laz_share_info=2012551849_0_100_100238316849_2012553849_null&amp;laz_token=3db41af01522d8766c8f3727eb3b234c&amp;exlaz=e_iqeJxmuQOjPGip8qo24MCSTeQCjDld4siVQ4kY1ODqrCXvTKdNAtBb55%2BgIiSkmNnXkPoNuoMIIpR8IEI%2FLi1U0sC6tUOx2TD3WnASIas1Y%3D&amp;sub_aff_id=social_share&amp;sub_id2=2012551849&amp;sub_id3=100238316849&amp;sub_id6=CPI_EXLAZ</t>
  </si>
  <si>
    <t>לבדוק מבצע בלזאדה</t>
  </si>
  <si>
    <t>פח</t>
  </si>
  <si>
    <t>https://s.lazada.co.th/s.zYZ59</t>
  </si>
  <si>
    <t>שייקר</t>
  </si>
  <si>
    <t xml:space="preserve">צלחות </t>
  </si>
  <si>
    <t>FÄRGKLAR แฟรีคลาร์ จาน, ด้าน เทาอ่อน, 26 ซม. - IKEA</t>
  </si>
  <si>
    <t>כיריים</t>
  </si>
  <si>
    <t>54 *49</t>
  </si>
  <si>
    <t>-</t>
  </si>
  <si>
    <t>כלי פלסטיק</t>
  </si>
  <si>
    <t>בלון גז</t>
  </si>
  <si>
    <t>סכום</t>
  </si>
  <si>
    <t>https://s.lazada.co.th/s.yJ5Hf</t>
  </si>
  <si>
    <t xml:space="preserve">קומקום </t>
  </si>
  <si>
    <t xml:space="preserve"> </t>
  </si>
  <si>
    <t>ציוד מטבח (טבלה נפרדת)</t>
  </si>
  <si>
    <t>סט סכינים</t>
  </si>
  <si>
    <t>מתקן מים</t>
  </si>
  <si>
    <t>מספריים</t>
  </si>
  <si>
    <t>https://www.ikea.com/th/th/p/svaerdfisk-scissors-set-of-2-stainless-steel-grey-grey-turquoise-40563432/</t>
  </si>
  <si>
    <t>מתקן ייבוש כלים</t>
  </si>
  <si>
    <t>https://www.ikea.com/th/th/p/variera-dish-drainer-white-00295813/?utm_source=google&amp;utm_medium=surfaces&amp;utm_campaign=shopping_feed&amp;utm_content=free_google_shopping_clicks_Kitchen&amp;gclsrc=aw.ds&amp;gad_source=1&amp;gad_campaignid=22718349252&amp;gbraid=0AAAAADjdRfL6JVXb7Y-Ot3wrBjUHqQcRb&amp;gclid=CjwKCAjwp_LDBhBCEiwAK7Fnkn5od7U-H2Mq1J6hG-HcFtWeg-RYdta-PrABekfyISlPBQZUBxB-PBoCiO8QAvD_BwE</t>
  </si>
  <si>
    <t>סט סירים ומחבתות</t>
  </si>
  <si>
    <t>https://s.lazada.co.th/s.y5G4w</t>
  </si>
  <si>
    <t>https://s.lazada.co.th/s.zWTQJ</t>
  </si>
  <si>
    <t>אחלה סטים של נון סטיק, כולל 2 מחבתות ושני סירים</t>
  </si>
  <si>
    <t xml:space="preserve">מדף עץ למטבח </t>
  </si>
  <si>
    <t>18*150</t>
  </si>
  <si>
    <t>נגר</t>
  </si>
  <si>
    <t>הערכה</t>
  </si>
  <si>
    <t>סט תרווד מצקת...</t>
  </si>
  <si>
    <t>https://s.lazada.co.th/s.zYYZc</t>
  </si>
  <si>
    <t>כניסה</t>
  </si>
  <si>
    <t>ספסל/ רהיט</t>
  </si>
  <si>
    <t>120 או 110 לנעליים</t>
  </si>
  <si>
    <t>https://s.lazada.co.th/s.ypZLO</t>
  </si>
  <si>
    <t>משתלה</t>
  </si>
  <si>
    <t xml:space="preserve">מתקן יבוש כלים </t>
  </si>
  <si>
    <t>אקססוריז</t>
  </si>
  <si>
    <t>כוסות</t>
  </si>
  <si>
    <t>שידת כניסה</t>
  </si>
  <si>
    <t>ספלים</t>
  </si>
  <si>
    <t xml:space="preserve">תאורה קירית </t>
  </si>
  <si>
    <r>
      <rPr>
        <rFont val="Arial"/>
        <color theme="1"/>
      </rPr>
      <t xml:space="preserve">Check out Vintage ไม้กัญชาเชือกโคมไฟติดผนังโคมไฟ Retro ห้องโถงข้างเตียง Loft Light โคมไฟอุตสาหกรรมอเมริกันตกแต่งแสงไม้. 
Get it on Lazada now! | </t>
    </r>
    <r>
      <rPr>
        <rFont val="Arial"/>
        <color rgb="FF1155CC"/>
        <u/>
      </rPr>
      <t>https://s.lazada.co.th/s.yjL7L</t>
    </r>
  </si>
  <si>
    <t>מראה למבואה חדר הורים</t>
  </si>
  <si>
    <t>איקאה</t>
  </si>
  <si>
    <t>https://www.ikea.com/th/en/p/grinsbol-mirror-rattan-00518465/</t>
  </si>
  <si>
    <t>שירותי אורחים</t>
  </si>
  <si>
    <t>מדף עץ</t>
  </si>
  <si>
    <t>https://s.lazada.co.th/s.yJgfq</t>
  </si>
  <si>
    <t>1 לכל שרותים</t>
  </si>
  <si>
    <t>מראה</t>
  </si>
  <si>
    <t>https://share.google/GTx2S1h2R9NGSJpqK</t>
  </si>
  <si>
    <t>עציץ קטן</t>
  </si>
  <si>
    <t>https://www.ikea.com/th/th/p/ekoln-waste-bin-beige-50493014/#content</t>
  </si>
  <si>
    <t>חדר הורים</t>
  </si>
  <si>
    <t>ארון</t>
  </si>
  <si>
    <t>מחיר לכל הנגרות</t>
  </si>
  <si>
    <t xml:space="preserve">נגרות </t>
  </si>
  <si>
    <t>מיטה</t>
  </si>
  <si>
    <t>https://www.indexlivingmall.com/asahikawa-bed</t>
  </si>
  <si>
    <t>ספסל מיטה</t>
  </si>
  <si>
    <t>מזרון</t>
  </si>
  <si>
    <t>https://s.lazada.co.th/s.y5xqU</t>
  </si>
  <si>
    <t>מחיר כולל לכל המזרונים</t>
  </si>
  <si>
    <t>שידות ליד המיטה</t>
  </si>
  <si>
    <t>https://s.lazada.co.th/s.yKloJ</t>
  </si>
  <si>
    <t>שידת איפור</t>
  </si>
  <si>
    <t>https://s.lazada.co.th/s.yJghu</t>
  </si>
  <si>
    <t>קישוט מעל המיטה</t>
  </si>
  <si>
    <t>https://s.lazada.co.th/s.yr5GF</t>
  </si>
  <si>
    <t>מראת גוף</t>
  </si>
  <si>
    <t>https://s.lazada.co.th/s.yj4Me</t>
  </si>
  <si>
    <t>גוף תאורה קירי לצד מיטה</t>
  </si>
  <si>
    <t xml:space="preserve">✔️ </t>
  </si>
  <si>
    <t>https://www.lazada.co.th/products/e27-i5169160344-s21902042524.html?dsource=share&amp;laz_share_info=1991556261_0_100_100229304698_1991558261_null&amp;laz_token=ac8c9068af00992a0cdf56cc20879d1d&amp;exlaz=e_iqeJxmuQOjPGip8qo24MCSTeQCjDld4siVQ4kY1ODqrCXvTKdNAtBb55%2BgIiSkmNnXkPoNuoMIIpR8IEI%2FLi1U0sC6tUOx2TD3WnASIas1Y%3D&amp;sub_aff_id=social_share&amp;sub_id2=1991556261&amp;sub_id3=100229304698&amp;sub_id6=CPI_EXLAZ</t>
  </si>
  <si>
    <t xml:space="preserve">או זוג אחר / החלפה עם הסלון </t>
  </si>
  <si>
    <t>שירותי מסטר</t>
  </si>
  <si>
    <t>מקס 110 רוחב גובה 70 או קוטר 80</t>
  </si>
  <si>
    <r>
      <rPr>
        <rFont val="Arial"/>
        <color theme="1"/>
      </rPr>
      <t xml:space="preserve">Check out กระจกกลมขนาดใหญ่ กระจกขนาดพิเศษ 80 cm ขอบสีทองใหม่อลูมิเนียมแท้แบบเงา พร้อมส่ง. 
Get it on Lazada now! | </t>
    </r>
    <r>
      <rPr>
        <rFont val="Arial"/>
        <color rgb="FF1155CC"/>
        <u/>
      </rPr>
      <t>https://s.lazada.co.th/s.ysyfM</t>
    </r>
  </si>
  <si>
    <t xml:space="preserve">לוודא מבצע </t>
  </si>
  <si>
    <t>גוף תאורה קירי</t>
  </si>
  <si>
    <t>https://www.lazada.co.th/products/american-living-room-background-tv-wall-creative-personality-light-luxury-european-style-nordic-bedroom-bedside-lamp-wall-lights-sconces-i5783850686-s24618576184.html?dsource=share&amp;laz_share_info=2018198554_3_6500_100238316849_2018200554_null&amp;laz_token=2293f507a03fd591fdc1caecc4a53eb6&amp;exlaz=e_DVpzZsmZKsbGip8qo24MCSTeQCjDld4siVQ4kY1ODqrZwT6Rq4aTKOqGOBsK%2BQ5zYsqI0lxIHdYKYtks1QxO%2BvzhbjJzFOJtD3WnASIas1Y%3D&amp;sub_aff_id=social_share&amp;sub_id2=2018198554&amp;sub_id3=100238316849&amp;sub_id6=CPI_EXLAZ</t>
  </si>
  <si>
    <t xml:space="preserve">סולם </t>
  </si>
  <si>
    <t>https://www.lazada.co.th/products/150-cm-180-cm-i3458116608-s12813477536.html?tradePath=omItm&amp;dsource=share&amp;laz_share_info=1998729992_0_100_100238316849_1998731992_null&amp;laz_token=cb40bd7d9cfa41a04321b6d22def0ecf&amp;exlaz=e_iqeJxmuQOjPGip8qo24MCSTeQCjDld4siVQ4kY1ODqrCXvTKdNAtBb55%2BgIiSkmNnXkPoNuoMIIpR8IEI%2FLi1U0sC6tUOx2TD3WnASIas1Y%3D&amp;sub_aff_id=social_share&amp;sub_id2=1998729992&amp;sub_id3=100238316849&amp;sub_id6=CPI_EXLAZ</t>
  </si>
  <si>
    <t>מדף מתחת לכיור</t>
  </si>
  <si>
    <t xml:space="preserve">מתלה מגבות </t>
  </si>
  <si>
    <t>80-90</t>
  </si>
  <si>
    <r>
      <rPr>
        <rFont val="Arial"/>
        <color theme="1"/>
      </rPr>
      <t xml:space="preserve">"Check out ตู้เสื้อเชิ้ตแบบพับได้สำหรับห้องน้ำโรงแรม ตู้เสื้อเชิ้ตสำหรับแขวนผ้าเช็ดตัว ตู้เสื้อผ้าติดผนัง ชั้นวางของในห้องน้ำ. 
Get it on Lazada now! | </t>
    </r>
    <r>
      <rPr>
        <rFont val="Arial"/>
        <color rgb="FF1155CC"/>
        <u/>
      </rPr>
      <t>https://s.lazada.co.th/s.ytJVj</t>
    </r>
    <r>
      <rPr>
        <rFont val="Arial"/>
        <color theme="1"/>
      </rPr>
      <t>"</t>
    </r>
  </si>
  <si>
    <t>מתלה מגבות ידיים</t>
  </si>
  <si>
    <r>
      <rPr>
        <rFont val="Arial"/>
        <color theme="1"/>
      </rPr>
      <t xml:space="preserve">Check out Towel Ring/Hand Towel Holder - Self Adhesive Round Towel Rack Black Hand Towel Bar for Bathroom, Stainless Steel. 
Get it on Lazada now! | </t>
    </r>
    <r>
      <rPr>
        <rFont val="Arial"/>
        <color rgb="FF1155CC"/>
        <u/>
      </rPr>
      <t>https://s.lazada.co.th/s.ytNPJ</t>
    </r>
  </si>
  <si>
    <t>מתקן נייר טואלט</t>
  </si>
  <si>
    <r>
      <rPr>
        <rFont val="Arial"/>
        <color theme="1"/>
      </rPr>
      <t xml:space="preserve">Check out ตู้เก็บกระดาษชำระไม้แท้แบบไม่ต้องเจาะ ตู้เก็บกระดาษชำระแบบไม่ต้องเจาะ รูปทรงเรขาคณิต สไตล์ยุโรป ไม่มีส่วนผสม. 
Get it on Lazada now! | </t>
    </r>
    <r>
      <rPr>
        <rFont val="Arial"/>
        <color rgb="FF1155CC"/>
        <u/>
      </rPr>
      <t>https://s.lazada.co.th/s.ytKjY</t>
    </r>
  </si>
  <si>
    <t>גם לחדרי שירותים האחרים</t>
  </si>
  <si>
    <t>שירותי ילדים</t>
  </si>
  <si>
    <t xml:space="preserve">מראה </t>
  </si>
  <si>
    <t>90*70 או 150</t>
  </si>
  <si>
    <t>מתקן שמפו</t>
  </si>
  <si>
    <t>https://www.lazada.co.th/products/i5000332547-s21110457980.html?dsource=share&amp;laz_share_info=2025849716_0_100_100238316849_2025851716_null&amp;laz_token=fee3287bc69a20df8e5785912e600b2c&amp;exlaz=e_iqeJxmuQOjPGip8qo24MCSTeQCjDld4siVQ4kY1ODqrCXvTKdNAtBb55%2BgIiSkmNnXkPoNuoMIIpR8IEI%2FLi1U0sC6tUOx2TD3WnASIas1Y%3D&amp;sub_aff_id=social_share&amp;sub_id2=2025849716&amp;sub_id3=100238316849&amp;sub_id6=CPI_EXLAZ</t>
  </si>
  <si>
    <t>מתקן מברשות שיניים וסבון</t>
  </si>
  <si>
    <t>שטיחוני אמבטיה</t>
  </si>
  <si>
    <r>
      <rPr>
        <rFont val="Arial"/>
        <color rgb="FF1155CC"/>
        <u/>
      </rPr>
      <t>https://www.ikea.com/th/th/p/toftbo-bath-mat-grey-white-melange-30610269/</t>
    </r>
    <r>
      <rPr>
        <rFont val="Arial"/>
        <color rgb="FF000000"/>
      </rPr>
      <t>כ</t>
    </r>
  </si>
  <si>
    <t xml:space="preserve">מעודכן במקלחת הורים </t>
  </si>
  <si>
    <t xml:space="preserve"> מחיר מעודכן בשירותי מסטר </t>
  </si>
  <si>
    <t>70-80</t>
  </si>
  <si>
    <t>חדר ילד ימין</t>
  </si>
  <si>
    <t>מיטה זוגית</t>
  </si>
  <si>
    <t>https://www.ikea.com/th/en/p/tarva-bed-frame-pine-luroey-s09198515/</t>
  </si>
  <si>
    <t>150*200  להוסיף עלות משלוח</t>
  </si>
  <si>
    <t>פירוט כלי מיטה:</t>
  </si>
  <si>
    <t>נגרות</t>
  </si>
  <si>
    <t>תאורה</t>
  </si>
  <si>
    <t>כריות</t>
  </si>
  <si>
    <t>שולחן כתיבה</t>
  </si>
  <si>
    <t>כלול במחיר הארון</t>
  </si>
  <si>
    <t>מצעים</t>
  </si>
  <si>
    <t>כסא משרדי</t>
  </si>
  <si>
    <t>כיסוי מזרון</t>
  </si>
  <si>
    <t>שידה ליד המיטה</t>
  </si>
  <si>
    <t>שמיכות</t>
  </si>
  <si>
    <t>MÅNALG wall lamp, wired-in installation, sedge/handmade - IKEA</t>
  </si>
  <si>
    <t>הוזמנו 4</t>
  </si>
  <si>
    <t>5 נורות איקאה</t>
  </si>
  <si>
    <t>חדר ילד שמאל</t>
  </si>
  <si>
    <t>2 מיטות יחיד</t>
  </si>
  <si>
    <t>https://www.ikea.com/th/en/p/tarva-bed-frame-pine-luroey-s69198471/</t>
  </si>
  <si>
    <t>90*200  להוסיף עלות משלוח</t>
  </si>
  <si>
    <t>כוורת</t>
  </si>
  <si>
    <t xml:space="preserve">מרפסת </t>
  </si>
  <si>
    <t>ריהוט חוץ ספה + שולחן</t>
  </si>
  <si>
    <t>140 170</t>
  </si>
  <si>
    <t>https://www.indexlivingmall.com/110027745</t>
  </si>
  <si>
    <t>index</t>
  </si>
  <si>
    <t>פינת ישיבה זוג</t>
  </si>
  <si>
    <t>שידה/ סלסלה לאחסון מגבות</t>
  </si>
  <si>
    <t>עד 120</t>
  </si>
  <si>
    <t xml:space="preserve">עציץ </t>
  </si>
  <si>
    <t>גופי תאורה תלויים חוץ</t>
  </si>
  <si>
    <t>שונות</t>
  </si>
  <si>
    <t>וילונות</t>
  </si>
  <si>
    <t>מגבות</t>
  </si>
  <si>
    <t>https://s.lazada.co.th/s.yJg1n</t>
  </si>
  <si>
    <t>מגבות קטנות</t>
  </si>
  <si>
    <t>מתקן לייבוש מגבות/בגד ים</t>
  </si>
  <si>
    <t>https://s.lazada.co.th/s.ytnPV</t>
  </si>
  <si>
    <t>כולל משלוח</t>
  </si>
  <si>
    <t>כלי מיטה (טבלה נפרדת)</t>
  </si>
  <si>
    <t>פחי אשפה</t>
  </si>
  <si>
    <t xml:space="preserve">2 סלי כביסה </t>
  </si>
  <si>
    <t>כלי למברשות שיניים</t>
  </si>
  <si>
    <t>צינור לגינה</t>
  </si>
  <si>
    <t>מאווררי תקרה</t>
  </si>
  <si>
    <t>הוזמנו 15 - 64540 כולל משלוח וביטוח</t>
  </si>
  <si>
    <t>איבזור נוסף</t>
  </si>
  <si>
    <t>קשת מקש</t>
  </si>
  <si>
    <t>שני עציצי פלסטיק נשפכים</t>
  </si>
  <si>
    <t>קישוט תלוי ארוך</t>
  </si>
  <si>
    <t xml:space="preserve">קשת מעץ </t>
  </si>
  <si>
    <t>עיגולים גדולים לסלון</t>
  </si>
  <si>
    <t>שטיח חום לכניסה מהבריכה</t>
  </si>
  <si>
    <t>שמיכות ומגני מזרון</t>
  </si>
  <si>
    <t xml:space="preserve">סט עיגולים </t>
  </si>
  <si>
    <t>איבזור מטבח</t>
  </si>
  <si>
    <t>סירים</t>
  </si>
  <si>
    <t>סט תרווד וכו</t>
  </si>
  <si>
    <t xml:space="preserve">קרש חיתוך </t>
  </si>
  <si>
    <t>פרטי אוירה</t>
  </si>
  <si>
    <t xml:space="preserve">סלסלות </t>
  </si>
  <si>
    <t>קניות נוספות איקאה (מזרוני יחיד, כריות, שידות לילה, קערות)</t>
  </si>
  <si>
    <t>סכינים, קערות, קולפן, פותחן</t>
  </si>
  <si>
    <t xml:space="preserve">שטיח כניסה </t>
  </si>
  <si>
    <t>כוסות פלסטיק</t>
  </si>
  <si>
    <t>נורות</t>
  </si>
  <si>
    <t xml:space="preserve">מתקן מים ובקבוקים </t>
  </si>
  <si>
    <t>הרכבה איקאה</t>
  </si>
  <si>
    <t xml:space="preserve">משלוח איקאה </t>
  </si>
  <si>
    <t>סהכ לפני עמלת רכש</t>
  </si>
  <si>
    <t>עמלת רכש 20%</t>
  </si>
  <si>
    <t>סהכ</t>
  </si>
  <si>
    <t>נשאר בתקציב לבית</t>
  </si>
  <si>
    <t>העברות</t>
  </si>
  <si>
    <t>ניר</t>
  </si>
  <si>
    <t>צלקה</t>
  </si>
  <si>
    <t>איל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</si>
</sst>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u/>
      <color rgb="FF000000"/>
      <name val="Arial"/>
    </font>
    <font>
      <u/>
      <color theme="1"/>
      <name val="Arial"/>
    </font>
    <font>
      <u/>
      <color rgb="FF0000FF"/>
      <name val="Arial"/>
    </font>
    <font>
      <u/>
      <color rgb="FF0000FF"/>
    </font>
    <font>
      <u/>
      <color rgb="FF0000FF"/>
    </font>
    <font>
      <color rgb="FF000000"/>
      <name val="Arial"/>
    </font>
    <font>
      <u/>
      <color theme="1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81B0B0"/>
        <bgColor rgb="FF81B0B0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3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3" xfId="0" applyAlignment="1" applyBorder="1" applyFont="1" applyNumberFormat="1">
      <alignment readingOrder="0" shrinkToFit="0" wrapText="1"/>
    </xf>
    <xf borderId="1" fillId="0" fontId="1" numFmtId="3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4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right" shrinkToFit="0" vertical="bottom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vertical="bottom" wrapText="1"/>
    </xf>
    <xf borderId="2" fillId="5" fontId="1" numFmtId="0" xfId="0" applyAlignment="1" applyBorder="1" applyFill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wrapText="1"/>
    </xf>
    <xf borderId="1" fillId="6" fontId="1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2" fillId="7" fontId="1" numFmtId="0" xfId="0" applyAlignment="1" applyBorder="1" applyFill="1" applyFont="1">
      <alignment horizontal="center" readingOrder="0" shrinkToFit="0" vertical="bottom" wrapText="1"/>
    </xf>
    <xf borderId="2" fillId="0" fontId="1" numFmtId="0" xfId="0" applyAlignment="1" applyBorder="1" applyFont="1">
      <alignment horizontal="right"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readingOrder="0" shrinkToFit="0" wrapText="1"/>
    </xf>
    <xf borderId="1" fillId="8" fontId="1" numFmtId="0" xfId="0" applyAlignment="1" applyBorder="1" applyFill="1" applyFont="1">
      <alignment horizontal="center" readingOrder="0" shrinkToFit="0" wrapText="1"/>
    </xf>
    <xf borderId="3" fillId="0" fontId="1" numFmtId="0" xfId="0" applyAlignment="1" applyBorder="1" applyFont="1">
      <alignment horizontal="center" shrinkToFit="0" vertical="bottom" wrapText="1"/>
    </xf>
    <xf borderId="1" fillId="9" fontId="1" numFmtId="0" xfId="0" applyAlignment="1" applyBorder="1" applyFill="1" applyFont="1">
      <alignment horizontal="center" readingOrder="0" shrinkToFit="0" wrapText="1"/>
    </xf>
    <xf borderId="1" fillId="0" fontId="3" numFmtId="0" xfId="0" applyBorder="1" applyFont="1"/>
    <xf borderId="3" fillId="0" fontId="1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readingOrder="0"/>
    </xf>
    <xf borderId="3" fillId="0" fontId="1" numFmtId="0" xfId="0" applyAlignment="1" applyBorder="1" applyFont="1">
      <alignment horizontal="right" readingOrder="0" shrinkToFit="0" vertical="bottom" wrapText="1"/>
    </xf>
    <xf borderId="1" fillId="10" fontId="1" numFmtId="0" xfId="0" applyAlignment="1" applyBorder="1" applyFill="1" applyFont="1">
      <alignment horizontal="center" readingOrder="0" shrinkToFit="0" wrapText="1"/>
    </xf>
    <xf borderId="1" fillId="11" fontId="1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12" fontId="1" numFmtId="0" xfId="0" applyAlignment="1" applyBorder="1" applyFill="1" applyFont="1">
      <alignment horizontal="center" readingOrder="0" shrinkToFit="0" vertical="bottom" wrapText="1"/>
    </xf>
    <xf borderId="2" fillId="0" fontId="1" numFmtId="0" xfId="0" applyAlignment="1" applyBorder="1" applyFont="1">
      <alignment horizontal="right" readingOrder="0" shrinkToFit="0" vertical="bottom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13" fontId="1" numFmtId="0" xfId="0" applyAlignment="1" applyBorder="1" applyFill="1" applyFont="1">
      <alignment horizontal="center" readingOrder="0" shrinkToFit="0" vertical="bottom" wrapText="1"/>
    </xf>
    <xf borderId="1" fillId="0" fontId="1" numFmtId="3" xfId="0" applyAlignment="1" applyBorder="1" applyFont="1" applyNumberFormat="1">
      <alignment shrinkToFit="0" wrapText="1"/>
    </xf>
    <xf borderId="2" fillId="0" fontId="1" numFmtId="3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readingOrder="0" shrinkToFit="0" wrapText="1"/>
    </xf>
    <xf borderId="2" fillId="14" fontId="1" numFmtId="0" xfId="0" applyAlignment="1" applyBorder="1" applyFill="1" applyFont="1">
      <alignment horizontal="center" readingOrder="0" shrinkToFit="0" vertical="bottom" wrapText="1"/>
    </xf>
    <xf borderId="3" fillId="14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readingOrder="0" shrinkToFit="0" wrapText="1"/>
    </xf>
    <xf borderId="4" fillId="15" fontId="1" numFmtId="0" xfId="0" applyAlignment="1" applyBorder="1" applyFill="1" applyFont="1">
      <alignment horizontal="center" readingOrder="0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shrinkToFit="0" vertical="bottom" wrapText="1"/>
    </xf>
    <xf borderId="2" fillId="0" fontId="13" numFmtId="0" xfId="0" applyAlignment="1" applyBorder="1" applyFont="1">
      <alignment horizontal="right" readingOrder="0" shrinkToFit="0" vertical="bottom" wrapText="1"/>
    </xf>
    <xf borderId="0" fillId="0" fontId="3" numFmtId="0" xfId="0" applyAlignment="1" applyFont="1">
      <alignment readingOrder="0"/>
    </xf>
    <xf borderId="1" fillId="16" fontId="1" numFmtId="0" xfId="0" applyAlignment="1" applyBorder="1" applyFill="1" applyFont="1">
      <alignment horizontal="center" shrinkToFit="0" wrapText="1"/>
    </xf>
    <xf borderId="1" fillId="16" fontId="1" numFmtId="0" xfId="0" applyAlignment="1" applyBorder="1" applyFont="1">
      <alignment horizontal="center" readingOrder="0" shrinkToFit="0" wrapText="1"/>
    </xf>
    <xf borderId="1" fillId="16" fontId="1" numFmtId="0" xfId="0" applyAlignment="1" applyBorder="1" applyFont="1">
      <alignment shrinkToFit="0" wrapText="1"/>
    </xf>
    <xf borderId="1" fillId="16" fontId="1" numFmtId="3" xfId="0" applyAlignment="1" applyBorder="1" applyFont="1" applyNumberFormat="1">
      <alignment shrinkToFit="0" wrapText="1"/>
    </xf>
    <xf borderId="1" fillId="2" fontId="1" numFmtId="0" xfId="0" applyAlignment="1" applyBorder="1" applyFont="1">
      <alignment shrinkToFit="0" wrapText="1"/>
    </xf>
    <xf borderId="0" fillId="16" fontId="3" numFmtId="0" xfId="0" applyAlignment="1" applyFont="1">
      <alignment shrinkToFit="0" wrapText="1"/>
    </xf>
    <xf borderId="1" fillId="17" fontId="2" numFmtId="0" xfId="0" applyAlignment="1" applyBorder="1" applyFill="1" applyFont="1">
      <alignment horizontal="center" readingOrder="0" shrinkToFit="0" wrapText="1"/>
    </xf>
    <xf borderId="1" fillId="17" fontId="1" numFmtId="0" xfId="0" applyAlignment="1" applyBorder="1" applyFont="1">
      <alignment shrinkToFit="0" wrapText="1"/>
    </xf>
    <xf borderId="1" fillId="17" fontId="1" numFmtId="0" xfId="0" applyAlignment="1" applyBorder="1" applyFont="1">
      <alignment horizontal="center" readingOrder="0" shrinkToFit="0" wrapText="1"/>
    </xf>
    <xf borderId="1" fillId="17" fontId="1" numFmtId="0" xfId="0" applyAlignment="1" applyBorder="1" applyFont="1">
      <alignment readingOrder="0" shrinkToFit="0" wrapText="1"/>
    </xf>
    <xf borderId="1" fillId="0" fontId="1" numFmtId="3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0" fillId="4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azada.co.th/products/american-living-room-background-tv-wall-creative-personality-light-luxury-european-style-nordic-bedroom-bedside-lamp-wall-lights-sconces-i5783850686-s24618576184.html?dsource=share&amp;laz_share_info=2018198554_3_6500_100238316849_2018200554_null&amp;laz_token=2293f507a03fd591fdc1caecc4a53eb6&amp;exlaz=e_DVpzZsmZKsbGip8qo24MCSTeQCjDld4siVQ4kY1ODqrZwT6Rq4aTKOqGOBsK%2BQ5zYsqI0lxIHdYKYtks1QxO%2BvzhbjJzFOJtD3WnASIas1Y%3D&amp;sub_aff_id=social_share&amp;sub_id2=2018198554&amp;sub_id3=100238316849&amp;sub_id6=CPI_EXLAZ" TargetMode="External"/><Relationship Id="rId42" Type="http://schemas.openxmlformats.org/officeDocument/2006/relationships/hyperlink" Target="https://s.lazada.co.th/s.ytJVj" TargetMode="External"/><Relationship Id="rId41" Type="http://schemas.openxmlformats.org/officeDocument/2006/relationships/hyperlink" Target="https://www.lazada.co.th/products/150-cm-180-cm-i3458116608-s12813477536.html?tradePath=omItm&amp;dsource=share&amp;laz_share_info=1998729992_0_100_100238316849_1998731992_null&amp;laz_token=cb40bd7d9cfa41a04321b6d22def0ecf&amp;exlaz=e_iqeJxmuQOjPGip8qo24MCSTeQCjDld4siVQ4kY1ODqrCXvTKdNAtBb55%2BgIiSkmNnXkPoNuoMIIpR8IEI%2FLi1U0sC6tUOx2TD3WnASIas1Y%3D&amp;sub_aff_id=social_share&amp;sub_id2=1998729992&amp;sub_id3=100238316849&amp;sub_id6=CPI_EXLAZ" TargetMode="External"/><Relationship Id="rId44" Type="http://schemas.openxmlformats.org/officeDocument/2006/relationships/hyperlink" Target="https://s.lazada.co.th/s.ytKjY" TargetMode="External"/><Relationship Id="rId43" Type="http://schemas.openxmlformats.org/officeDocument/2006/relationships/hyperlink" Target="https://s.lazada.co.th/s.ytNPJ" TargetMode="External"/><Relationship Id="rId46" Type="http://schemas.openxmlformats.org/officeDocument/2006/relationships/hyperlink" Target="https://www.ikea.com/th/th/p/toftbo-bath-mat-grey-white-melange-30610269/" TargetMode="External"/><Relationship Id="rId45" Type="http://schemas.openxmlformats.org/officeDocument/2006/relationships/hyperlink" Target="https://www.lazada.co.th/products/i5000332547-s21110457980.html?dsource=share&amp;laz_share_info=2025849716_0_100_100238316849_2025851716_null&amp;laz_token=fee3287bc69a20df8e5785912e600b2c&amp;exlaz=e_iqeJxmuQOjPGip8qo24MCSTeQCjDld4siVQ4kY1ODqrCXvTKdNAtBb55%2BgIiSkmNnXkPoNuoMIIpR8IEI%2FLi1U0sC6tUOx2TD3WnASIas1Y%3D&amp;sub_aff_id=social_share&amp;sub_id2=2025849716&amp;sub_id3=100238316849&amp;sub_id6=CPI_EXLAZ" TargetMode="External"/><Relationship Id="rId1" Type="http://schemas.openxmlformats.org/officeDocument/2006/relationships/hyperlink" Target="https://www.ikea.com/th/en/p/soederhamn-4-seat-sofa-with-chaise-longue-and-open-end-tonerud-grey-s29452119/" TargetMode="External"/><Relationship Id="rId2" Type="http://schemas.openxmlformats.org/officeDocument/2006/relationships/hyperlink" Target="https://s.lazada.co.th/s.yKncI" TargetMode="External"/><Relationship Id="rId3" Type="http://schemas.openxmlformats.org/officeDocument/2006/relationships/hyperlink" Target="https://www.ikea.com/th/th/p/lydersholm-rug-flatwoven-in-outdoor-medium-brown-50495414/" TargetMode="External"/><Relationship Id="rId4" Type="http://schemas.openxmlformats.org/officeDocument/2006/relationships/hyperlink" Target="https://www.lazada.co.th/products/62-i5532598233-s23527120031.html?dsource=share&amp;laz_share_info=2024006681_0_100_100238316849_2024008681_null&amp;laz_token=7a11806c8875162b138f7727e068b51d&amp;exlaz=e_iqeJxmuQOjPGip8qo24MCSTeQCjDld4siVQ4kY1ODqrCXvTKdNAtBb55%2BgIiSkmNnXkPoNuoMIIpR8IEI%2FLi1U0sC6tUOx2TD3WnASIas1Y%3D&amp;sub_aff_id=social_share&amp;sub_id2=2024006681&amp;sub_id3=100238316849&amp;sub_id6=CPI_EXLAZ" TargetMode="External"/><Relationship Id="rId9" Type="http://schemas.openxmlformats.org/officeDocument/2006/relationships/hyperlink" Target="https://s.lazada.co.th/s.yKMkK" TargetMode="External"/><Relationship Id="rId48" Type="http://schemas.openxmlformats.org/officeDocument/2006/relationships/hyperlink" Target="https://s.lazada.co.th/s.y5xqU" TargetMode="External"/><Relationship Id="rId47" Type="http://schemas.openxmlformats.org/officeDocument/2006/relationships/hyperlink" Target="https://www.ikea.com/th/en/p/tarva-bed-frame-pine-luroey-s09198515/" TargetMode="External"/><Relationship Id="rId49" Type="http://schemas.openxmlformats.org/officeDocument/2006/relationships/hyperlink" Target="https://www.ikea.com/th/en/p/manalg-wall-lamp-wired-in-installation-sedge-handmade-60484698/" TargetMode="External"/><Relationship Id="rId5" Type="http://schemas.openxmlformats.org/officeDocument/2006/relationships/hyperlink" Target="https://s.lazada.co.th/s.yjXLj" TargetMode="External"/><Relationship Id="rId6" Type="http://schemas.openxmlformats.org/officeDocument/2006/relationships/hyperlink" Target="https://www.lazada.co.th/products/caosu-boho-pillow-sham-fringed-pillow-shams-bohemian-fringe-tassel-pillowcase-with-hidden-zipper-square-decor-for-office-couch-living-room-bedroom-car-seat-throw-pillow-cover-sham-i5423505171-s23042041463.html?tradePath=omItm&amp;dsource=share&amp;laz_share_info=2048472216_0_100_100229304698_2048474216_null&amp;laz_token=7ebde3a19e0ea5ad1ddd4568fd3522dd&amp;exlaz=e_iqeJxmuQOjPGip8qo24MCSTeQCjDld4siVQ4kY1ODqrCXvTKdNAtBb55%2BgIiSkmNnXkPoNuoMIIpR8IEI%2FLi1U0sC6tUOx2TD3WnASIas1Y%3D&amp;sub_aff_id=social_share&amp;sub_id2=2048472216&amp;sub_id3=100229304698&amp;sub_id6=CPI_EXLAZ" TargetMode="External"/><Relationship Id="rId7" Type="http://schemas.openxmlformats.org/officeDocument/2006/relationships/hyperlink" Target="https://www.lazada.co.th/products/30x5040x4045x4550x50cm-solid-cushion-core-head-waist-pillow-inner-pp-cotton-filler-cushion-filling-i4153488951-s16306035845.html?dsource=share&amp;laz_share_info=2024223449_3_6500_100238316849_2024225449_null&amp;laz_token=527fb3db7586d1798830b69d31448bbc&amp;exlaz=e_DVpzZsmZKsbGip8qo24MCSTeQCjDld4siVQ4kY1ODqrZwT6Rq4aTKOqGOBsK%2BQ5zYsqI0lxIHdYKYtks1QxO%2BvzhbjJzFOJtD3WnASIas1Y%3D&amp;sub_aff_id=social_share&amp;sub_id2=2024223449&amp;sub_id3=100238316849&amp;sub_id6=CPI_EXLAZ" TargetMode="External"/><Relationship Id="rId8" Type="http://schemas.openxmlformats.org/officeDocument/2006/relationships/hyperlink" Target="https://s.lazada.co.th/s.yjXJr" TargetMode="External"/><Relationship Id="rId31" Type="http://schemas.openxmlformats.org/officeDocument/2006/relationships/hyperlink" Target="https://www.ikea.com/th/th/p/ekoln-waste-bin-beige-50493014/" TargetMode="External"/><Relationship Id="rId30" Type="http://schemas.openxmlformats.org/officeDocument/2006/relationships/hyperlink" Target="https://share.google/GTx2S1h2R9NGSJpqK" TargetMode="External"/><Relationship Id="rId33" Type="http://schemas.openxmlformats.org/officeDocument/2006/relationships/hyperlink" Target="https://s.lazada.co.th/s.y5xqU" TargetMode="External"/><Relationship Id="rId32" Type="http://schemas.openxmlformats.org/officeDocument/2006/relationships/hyperlink" Target="https://www.indexlivingmall.com/asahikawa-bed" TargetMode="External"/><Relationship Id="rId35" Type="http://schemas.openxmlformats.org/officeDocument/2006/relationships/hyperlink" Target="https://s.lazada.co.th/s.yJghu" TargetMode="External"/><Relationship Id="rId34" Type="http://schemas.openxmlformats.org/officeDocument/2006/relationships/hyperlink" Target="https://s.lazada.co.th/s.yKloJ" TargetMode="External"/><Relationship Id="rId37" Type="http://schemas.openxmlformats.org/officeDocument/2006/relationships/hyperlink" Target="https://s.lazada.co.th/s.yj4Me" TargetMode="External"/><Relationship Id="rId36" Type="http://schemas.openxmlformats.org/officeDocument/2006/relationships/hyperlink" Target="https://s.lazada.co.th/s.yr5GF" TargetMode="External"/><Relationship Id="rId39" Type="http://schemas.openxmlformats.org/officeDocument/2006/relationships/hyperlink" Target="https://s.lazada.co.th/s.ysyfM" TargetMode="External"/><Relationship Id="rId38" Type="http://schemas.openxmlformats.org/officeDocument/2006/relationships/hyperlink" Target="https://www.lazada.co.th/products/e27-i5169160344-s21902042524.html?dsource=share&amp;laz_share_info=1991556261_0_100_100229304698_1991558261_null&amp;laz_token=ac8c9068af00992a0cdf56cc20879d1d&amp;exlaz=e_iqeJxmuQOjPGip8qo24MCSTeQCjDld4siVQ4kY1ODqrCXvTKdNAtBb55%2BgIiSkmNnXkPoNuoMIIpR8IEI%2FLi1U0sC6tUOx2TD3WnASIas1Y%3D&amp;sub_aff_id=social_share&amp;sub_id2=1991556261&amp;sub_id3=100229304698&amp;sub_id6=CPI_EXLAZ" TargetMode="External"/><Relationship Id="rId20" Type="http://schemas.openxmlformats.org/officeDocument/2006/relationships/hyperlink" Target="https://s.lazada.co.th/s.yJ5Hf" TargetMode="External"/><Relationship Id="rId22" Type="http://schemas.openxmlformats.org/officeDocument/2006/relationships/hyperlink" Target="https://www.ikea.com/th/th/p/variera-dish-drainer-white-00295813/?utm_source=google&amp;utm_medium=surfaces&amp;utm_campaign=shopping_feed&amp;utm_content=free_google_shopping_clicks_Kitchen&amp;gclsrc=aw.ds&amp;gad_source=1&amp;gad_campaignid=22718349252&amp;gbraid=0AAAAADjdRfL6JVXb7Y-Ot3wrBjUHqQcRb&amp;gclid=CjwKCAjwp_LDBhBCEiwAK7Fnkn5od7U-H2Mq1J6hG-HcFtWeg-RYdta-PrABekfyISlPBQZUBxB-PBoCiO8QAvD_BwE" TargetMode="External"/><Relationship Id="rId21" Type="http://schemas.openxmlformats.org/officeDocument/2006/relationships/hyperlink" Target="https://www.ikea.com/th/th/p/svaerdfisk-scissors-set-of-2-stainless-steel-grey-grey-turquoise-40563432/" TargetMode="External"/><Relationship Id="rId24" Type="http://schemas.openxmlformats.org/officeDocument/2006/relationships/hyperlink" Target="https://s.lazada.co.th/s.zWTQJ" TargetMode="External"/><Relationship Id="rId23" Type="http://schemas.openxmlformats.org/officeDocument/2006/relationships/hyperlink" Target="https://s.lazada.co.th/s.y5G4w" TargetMode="External"/><Relationship Id="rId26" Type="http://schemas.openxmlformats.org/officeDocument/2006/relationships/hyperlink" Target="https://s.lazada.co.th/s.ypZLO" TargetMode="External"/><Relationship Id="rId25" Type="http://schemas.openxmlformats.org/officeDocument/2006/relationships/hyperlink" Target="https://s.lazada.co.th/s.zYYZc" TargetMode="External"/><Relationship Id="rId28" Type="http://schemas.openxmlformats.org/officeDocument/2006/relationships/hyperlink" Target="https://www.ikea.com/th/en/p/grinsbol-mirror-rattan-00518465/" TargetMode="External"/><Relationship Id="rId27" Type="http://schemas.openxmlformats.org/officeDocument/2006/relationships/hyperlink" Target="https://s.lazada.co.th/s.yjL7L" TargetMode="External"/><Relationship Id="rId29" Type="http://schemas.openxmlformats.org/officeDocument/2006/relationships/hyperlink" Target="https://s.lazada.co.th/s.yJgfq" TargetMode="External"/><Relationship Id="rId51" Type="http://schemas.openxmlformats.org/officeDocument/2006/relationships/hyperlink" Target="https://www.ikea.com/th/en/p/manalg-wall-lamp-wired-in-installation-sedge-handmade-60484698/" TargetMode="External"/><Relationship Id="rId50" Type="http://schemas.openxmlformats.org/officeDocument/2006/relationships/hyperlink" Target="https://www.ikea.com/th/en/p/tarva-bed-frame-pine-luroey-s69198471/" TargetMode="External"/><Relationship Id="rId53" Type="http://schemas.openxmlformats.org/officeDocument/2006/relationships/hyperlink" Target="https://www.lazada.co.th/products/wabi-sabi-retro-led-e27-wall-sconces-corridor-i5437162747-s23090670829.html?tradePath=omItm&amp;dsource=share&amp;laz_share_info=1998778621_0_100_100238316849_1998780621_null&amp;laz_token=1e3bce9f93386306423a28eac4481e9c&amp;exlaz=e_iqeJxmuQOjPGip8qo24MCSTeQCjDld4siVQ4kY1ODqrCXvTKdNAtBb55%2BgIiSkmNnXkPoNuoMIIpR8IEI%2FLi1U0sC6tUOx2TD3WnASIas1Y%3D&amp;sub_aff_id=social_share&amp;sub_id2=1998778621&amp;sub_id3=100238316849&amp;sub_id6=CPI_EXLAZ" TargetMode="External"/><Relationship Id="rId52" Type="http://schemas.openxmlformats.org/officeDocument/2006/relationships/hyperlink" Target="https://www.indexlivingmall.com/110027745" TargetMode="External"/><Relationship Id="rId11" Type="http://schemas.openxmlformats.org/officeDocument/2006/relationships/hyperlink" Target="https://www.lazada.co.th/products/wabi-sabi-retro-led-e27-wall-sconces-corridor-i5437162747-s23090670829.html?tradePath=omItm&amp;dsource=share&amp;laz_share_info=1998778621_0_100_100238316849_1998780621_null&amp;laz_token=1e3bce9f93386306423a28eac4481e9c&amp;exlaz=e_iqeJxmuQOjPGip8qo24MCSTeQCjDld4siVQ4kY1ODqrCXvTKdNAtBb55%2BgIiSkmNnXkPoNuoMIIpR8IEI%2FLi1U0sC6tUOx2TD3WnASIas1Y%3D&amp;sub_aff_id=social_share&amp;sub_id2=1998778621&amp;sub_id3=100238316849&amp;sub_id6=CPI_EXLAZ" TargetMode="External"/><Relationship Id="rId55" Type="http://schemas.openxmlformats.org/officeDocument/2006/relationships/hyperlink" Target="https://s.lazada.co.th/s.ytnPV" TargetMode="External"/><Relationship Id="rId10" Type="http://schemas.openxmlformats.org/officeDocument/2006/relationships/hyperlink" Target="https://www.lazada.co.th/products/i5177431391-s21956220069.html?dsource=share&amp;laz_share_info=2000970366_0_100_100238316849_2000972366_null&amp;laz_token=edb94afbdb75fe32f2544d1dec434d7d&amp;exlaz=e_iqeJxmuQOjPGip8qo24MCSTeQCjDld4siVQ4kY1ODqrCXvTKdNAtBb55%2BgIiSkmNnXkPoNuoMIIpR8IEI%2FLi1U0sC6tUOx2TD3WnASIas1Y%3D&amp;sub_aff_id=social_share&amp;sub_id2=2000970366&amp;sub_id3=100238316849&amp;sub_id6=CPI_EXLAZ" TargetMode="External"/><Relationship Id="rId54" Type="http://schemas.openxmlformats.org/officeDocument/2006/relationships/hyperlink" Target="https://s.lazada.co.th/s.yJg1n" TargetMode="External"/><Relationship Id="rId13" Type="http://schemas.openxmlformats.org/officeDocument/2006/relationships/hyperlink" Target="https://www.ikea.com/th/th/p/skogsta-chair-acacia-70544871/" TargetMode="External"/><Relationship Id="rId12" Type="http://schemas.openxmlformats.org/officeDocument/2006/relationships/hyperlink" Target="https://www.indexlivingmall.com/120020646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s.lazada.co.th/s.Bhn6R" TargetMode="External"/><Relationship Id="rId14" Type="http://schemas.openxmlformats.org/officeDocument/2006/relationships/hyperlink" Target="https://s.lazada.co.th/s.yj5Sj" TargetMode="External"/><Relationship Id="rId17" Type="http://schemas.openxmlformats.org/officeDocument/2006/relationships/hyperlink" Target="https://www.lazada.co.th/products/built-in-ovens-emv-675ms-i4222395318-s16636473728.html?dsource=share&amp;laz_share_info=2012551849_0_100_100238316849_2012553849_null&amp;laz_token=3db41af01522d8766c8f3727eb3b234c&amp;exlaz=e_iqeJxmuQOjPGip8qo24MCSTeQCjDld4siVQ4kY1ODqrCXvTKdNAtBb55%2BgIiSkmNnXkPoNuoMIIpR8IEI%2FLi1U0sC6tUOx2TD3WnASIas1Y%3D&amp;sub_aff_id=social_share&amp;sub_id2=2012551849&amp;sub_id3=100238316849&amp;sub_id6=CPI_EXLAZ" TargetMode="External"/><Relationship Id="rId16" Type="http://schemas.openxmlformats.org/officeDocument/2006/relationships/hyperlink" Target="https://www.homepro.co.th/p/1295https://www.homepro.co.th/p/129518118" TargetMode="External"/><Relationship Id="rId19" Type="http://schemas.openxmlformats.org/officeDocument/2006/relationships/hyperlink" Target="https://www.ikea.com/th/th/p/faergklar-plate-matt-light-grey-70479639/" TargetMode="External"/><Relationship Id="rId18" Type="http://schemas.openxmlformats.org/officeDocument/2006/relationships/hyperlink" Target="https://s.lazada.co.th/s.BPn8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2" max="2" width="19.38"/>
    <col customWidth="1" min="3" max="3" width="14.88"/>
    <col customWidth="1" min="6" max="6" width="8.38"/>
    <col customWidth="1" min="7" max="7" width="7.75"/>
    <col customWidth="1" min="8" max="8" width="8.88"/>
    <col customWidth="1" min="9" max="9" width="4.63"/>
    <col customWidth="1" min="11" max="11" width="48.5"/>
    <col customWidth="1" min="14" max="16" width="12.63"/>
    <col customWidth="1" min="18" max="18" width="10.75"/>
    <col customWidth="1" min="19" max="19" width="17.13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2" t="s">
        <v>5</v>
      </c>
      <c r="H1" s="5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4" t="s">
        <v>11</v>
      </c>
      <c r="N1" s="6" t="s">
        <v>12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5.75" customHeight="1">
      <c r="A2" s="8" t="s">
        <v>13</v>
      </c>
      <c r="B2" s="9" t="s">
        <v>14</v>
      </c>
      <c r="C2" s="10" t="s">
        <v>15</v>
      </c>
      <c r="D2" s="11">
        <v>22140.0</v>
      </c>
      <c r="E2" s="12">
        <v>60704.0</v>
      </c>
      <c r="F2" s="13" t="s">
        <v>16</v>
      </c>
      <c r="G2" s="14" t="s">
        <v>16</v>
      </c>
      <c r="H2" s="14" t="s">
        <v>16</v>
      </c>
      <c r="I2" s="15"/>
      <c r="J2" s="15"/>
      <c r="K2" s="16" t="s">
        <v>17</v>
      </c>
      <c r="L2" s="14" t="s">
        <v>18</v>
      </c>
      <c r="M2" s="17" t="s">
        <v>19</v>
      </c>
      <c r="N2" s="18" t="s">
        <v>20</v>
      </c>
      <c r="O2" s="15"/>
      <c r="P2" s="19"/>
      <c r="Q2" s="20"/>
      <c r="R2" s="20"/>
      <c r="S2" s="7"/>
      <c r="T2" s="7"/>
      <c r="U2" s="7"/>
      <c r="V2" s="7"/>
      <c r="W2" s="7"/>
      <c r="X2" s="7"/>
      <c r="Y2" s="7"/>
      <c r="Z2" s="7"/>
      <c r="AA2" s="7"/>
      <c r="AB2" s="7"/>
    </row>
    <row r="3" ht="15.75" customHeight="1">
      <c r="A3" s="21"/>
      <c r="B3" s="9" t="s">
        <v>21</v>
      </c>
      <c r="C3" s="15"/>
      <c r="D3" s="14">
        <v>2350.0</v>
      </c>
      <c r="E3" s="12">
        <v>3283.0</v>
      </c>
      <c r="F3" s="13" t="s">
        <v>16</v>
      </c>
      <c r="G3" s="14" t="s">
        <v>16</v>
      </c>
      <c r="H3" s="15"/>
      <c r="I3" s="15"/>
      <c r="J3" s="15"/>
      <c r="K3" s="22" t="s">
        <v>22</v>
      </c>
      <c r="L3" s="14" t="s">
        <v>23</v>
      </c>
      <c r="M3" s="15"/>
      <c r="N3" s="15"/>
      <c r="O3" s="15"/>
      <c r="P3" s="23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customHeight="1">
      <c r="A4" s="21"/>
      <c r="B4" s="9" t="s">
        <v>24</v>
      </c>
      <c r="C4" s="14" t="s">
        <v>25</v>
      </c>
      <c r="D4" s="15">
        <v>4000.0</v>
      </c>
      <c r="E4" s="12">
        <v>0.0</v>
      </c>
      <c r="F4" s="13" t="s">
        <v>16</v>
      </c>
      <c r="G4" s="14" t="s">
        <v>16</v>
      </c>
      <c r="H4" s="15"/>
      <c r="I4" s="15"/>
      <c r="J4" s="15"/>
      <c r="K4" s="24" t="s">
        <v>26</v>
      </c>
      <c r="L4" s="14" t="s">
        <v>18</v>
      </c>
      <c r="M4" s="15"/>
      <c r="N4" s="15"/>
      <c r="O4" s="15"/>
      <c r="P4" s="23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5.75" customHeight="1">
      <c r="A5" s="21"/>
      <c r="B5" s="9" t="s">
        <v>27</v>
      </c>
      <c r="C5" s="15"/>
      <c r="D5" s="14">
        <v>4500.0</v>
      </c>
      <c r="E5" s="12">
        <v>3990.0</v>
      </c>
      <c r="F5" s="13" t="s">
        <v>16</v>
      </c>
      <c r="G5" s="14" t="s">
        <v>16</v>
      </c>
      <c r="H5" s="15"/>
      <c r="I5" s="15"/>
      <c r="J5" s="15"/>
      <c r="K5" s="24" t="s">
        <v>28</v>
      </c>
      <c r="L5" s="14" t="s">
        <v>23</v>
      </c>
      <c r="M5" s="15"/>
      <c r="N5" s="15"/>
      <c r="O5" s="15"/>
      <c r="P5" s="23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5.75" customHeight="1">
      <c r="A6" s="21"/>
      <c r="B6" s="9" t="s">
        <v>29</v>
      </c>
      <c r="C6" s="14" t="s">
        <v>30</v>
      </c>
      <c r="D6" s="12">
        <v>14900.0</v>
      </c>
      <c r="E6" s="12">
        <v>57006.0</v>
      </c>
      <c r="F6" s="13" t="s">
        <v>16</v>
      </c>
      <c r="G6" s="15"/>
      <c r="H6" s="15"/>
      <c r="I6" s="15"/>
      <c r="J6" s="15"/>
      <c r="K6" s="16" t="s">
        <v>31</v>
      </c>
      <c r="L6" s="14" t="s">
        <v>23</v>
      </c>
      <c r="M6" s="25" t="s">
        <v>32</v>
      </c>
      <c r="N6" s="15"/>
      <c r="O6" s="15"/>
      <c r="P6" s="23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5.75" customHeight="1">
      <c r="A7" s="21"/>
      <c r="B7" s="9" t="s">
        <v>33</v>
      </c>
      <c r="C7" s="15"/>
      <c r="D7" s="14">
        <v>360.0</v>
      </c>
      <c r="E7" s="14">
        <v>539.0</v>
      </c>
      <c r="F7" s="13" t="s">
        <v>16</v>
      </c>
      <c r="G7" s="15"/>
      <c r="H7" s="15"/>
      <c r="I7" s="14">
        <v>2.0</v>
      </c>
      <c r="J7" s="14">
        <v>180.0</v>
      </c>
      <c r="K7" s="24" t="s">
        <v>34</v>
      </c>
      <c r="L7" s="14" t="s">
        <v>23</v>
      </c>
      <c r="M7" s="15"/>
      <c r="N7" s="15"/>
      <c r="O7" s="15"/>
      <c r="P7" s="23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5.75" customHeight="1">
      <c r="A8" s="21"/>
      <c r="B8" s="26" t="s">
        <v>35</v>
      </c>
      <c r="C8" s="15"/>
      <c r="D8" s="14">
        <v>200.0</v>
      </c>
      <c r="E8" s="14">
        <v>328.0</v>
      </c>
      <c r="F8" s="13" t="s">
        <v>16</v>
      </c>
      <c r="G8" s="15"/>
      <c r="H8" s="15"/>
      <c r="I8" s="14">
        <v>2.0</v>
      </c>
      <c r="J8" s="14">
        <v>100.0</v>
      </c>
      <c r="K8" s="24" t="s">
        <v>36</v>
      </c>
      <c r="L8" s="14" t="s">
        <v>23</v>
      </c>
      <c r="M8" s="15"/>
      <c r="N8" s="15"/>
      <c r="O8" s="15"/>
      <c r="P8" s="23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5.75" customHeight="1">
      <c r="A9" s="21"/>
      <c r="B9" s="9" t="s">
        <v>37</v>
      </c>
      <c r="C9" s="18" t="s">
        <v>38</v>
      </c>
      <c r="D9" s="12">
        <v>18634.0</v>
      </c>
      <c r="E9" s="12">
        <v>14988.0</v>
      </c>
      <c r="F9" s="13" t="s">
        <v>16</v>
      </c>
      <c r="G9" s="14" t="s">
        <v>16</v>
      </c>
      <c r="H9" s="15"/>
      <c r="I9" s="14">
        <v>1.0</v>
      </c>
      <c r="J9" s="15"/>
      <c r="K9" s="16" t="s">
        <v>39</v>
      </c>
      <c r="L9" s="14" t="s">
        <v>23</v>
      </c>
      <c r="M9" s="18" t="s">
        <v>40</v>
      </c>
      <c r="N9" s="15"/>
      <c r="O9" s="15"/>
      <c r="P9" s="23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5.75" customHeight="1">
      <c r="A10" s="21"/>
      <c r="B10" s="26" t="s">
        <v>41</v>
      </c>
      <c r="C10" s="18"/>
      <c r="D10" s="14">
        <v>668.0</v>
      </c>
      <c r="E10" s="12">
        <v>645.0</v>
      </c>
      <c r="F10" s="13" t="s">
        <v>16</v>
      </c>
      <c r="G10" s="14" t="s">
        <v>16</v>
      </c>
      <c r="H10" s="15"/>
      <c r="I10" s="15"/>
      <c r="J10" s="14">
        <v>668.0</v>
      </c>
      <c r="K10" s="22" t="s">
        <v>42</v>
      </c>
      <c r="L10" s="14" t="s">
        <v>23</v>
      </c>
      <c r="M10" s="18"/>
      <c r="N10" s="15"/>
      <c r="O10" s="15"/>
      <c r="P10" s="23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5.75" customHeight="1">
      <c r="A11" s="21"/>
      <c r="B11" s="9" t="s">
        <v>43</v>
      </c>
      <c r="C11" s="15"/>
      <c r="D11" s="14">
        <v>2500.0</v>
      </c>
      <c r="E11" s="19">
        <f t="shared" ref="E11:E12" si="1">J11*I11</f>
        <v>0</v>
      </c>
      <c r="F11" s="27"/>
      <c r="G11" s="15"/>
      <c r="H11" s="15"/>
      <c r="I11" s="15"/>
      <c r="J11" s="15"/>
      <c r="K11" s="15"/>
      <c r="L11" s="18" t="s">
        <v>44</v>
      </c>
      <c r="M11" s="15"/>
      <c r="N11" s="15"/>
      <c r="O11" s="15"/>
      <c r="P11" s="23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5.75" customHeight="1">
      <c r="A12" s="21"/>
      <c r="B12" s="9" t="s">
        <v>45</v>
      </c>
      <c r="C12" s="15"/>
      <c r="D12" s="15">
        <f t="shared" ref="D12:D13" si="2">J12*I12</f>
        <v>0</v>
      </c>
      <c r="E12" s="19">
        <f t="shared" si="1"/>
        <v>0</v>
      </c>
      <c r="F12" s="27"/>
      <c r="G12" s="15"/>
      <c r="H12" s="15"/>
      <c r="I12" s="15"/>
      <c r="J12" s="15"/>
      <c r="K12" s="15"/>
      <c r="L12" s="15"/>
      <c r="M12" s="15"/>
      <c r="N12" s="15"/>
      <c r="O12" s="15"/>
      <c r="P12" s="23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.75" customHeight="1">
      <c r="A13" s="28"/>
      <c r="B13" s="26" t="s">
        <v>46</v>
      </c>
      <c r="C13" s="18" t="s">
        <v>47</v>
      </c>
      <c r="D13" s="15">
        <f t="shared" si="2"/>
        <v>1600</v>
      </c>
      <c r="E13" s="12">
        <v>1590.0</v>
      </c>
      <c r="F13" s="13" t="s">
        <v>16</v>
      </c>
      <c r="G13" s="14" t="s">
        <v>16</v>
      </c>
      <c r="H13" s="14" t="s">
        <v>16</v>
      </c>
      <c r="I13" s="14">
        <v>1.0</v>
      </c>
      <c r="J13" s="14">
        <v>1600.0</v>
      </c>
      <c r="K13" s="16" t="s">
        <v>48</v>
      </c>
      <c r="L13" s="14" t="s">
        <v>23</v>
      </c>
      <c r="M13" s="15"/>
      <c r="N13" s="18" t="s">
        <v>49</v>
      </c>
      <c r="O13" s="15"/>
      <c r="P13" s="23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5.75" customHeight="1">
      <c r="A14" s="28"/>
      <c r="B14" s="26" t="s">
        <v>50</v>
      </c>
      <c r="C14" s="18"/>
      <c r="D14" s="14">
        <v>1280.0</v>
      </c>
      <c r="E14" s="12">
        <v>964.0</v>
      </c>
      <c r="F14" s="13" t="s">
        <v>16</v>
      </c>
      <c r="G14" s="14" t="s">
        <v>16</v>
      </c>
      <c r="H14" s="14" t="s">
        <v>16</v>
      </c>
      <c r="I14" s="14">
        <v>2.0</v>
      </c>
      <c r="J14" s="14">
        <v>640.0</v>
      </c>
      <c r="K14" s="24" t="s">
        <v>51</v>
      </c>
      <c r="L14" s="14" t="s">
        <v>52</v>
      </c>
      <c r="M14" s="18" t="s">
        <v>53</v>
      </c>
      <c r="N14" s="18" t="s">
        <v>49</v>
      </c>
      <c r="O14" s="15"/>
      <c r="P14" s="23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75" customHeight="1">
      <c r="A15" s="29" t="s">
        <v>54</v>
      </c>
      <c r="B15" s="26" t="s">
        <v>55</v>
      </c>
      <c r="C15" s="18" t="s">
        <v>56</v>
      </c>
      <c r="D15" s="14">
        <v>10990.0</v>
      </c>
      <c r="E15" s="12">
        <v>0.0</v>
      </c>
      <c r="F15" s="13" t="s">
        <v>16</v>
      </c>
      <c r="G15" s="15"/>
      <c r="H15" s="15"/>
      <c r="I15" s="15"/>
      <c r="J15" s="18"/>
      <c r="K15" s="16" t="s">
        <v>57</v>
      </c>
      <c r="L15" s="14" t="s">
        <v>58</v>
      </c>
      <c r="M15" s="18" t="s">
        <v>59</v>
      </c>
      <c r="N15" s="15"/>
      <c r="O15" s="15"/>
      <c r="P15" s="23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.75" customHeight="1">
      <c r="A16" s="30"/>
      <c r="B16" s="9" t="s">
        <v>60</v>
      </c>
      <c r="C16" s="15"/>
      <c r="D16" s="14">
        <v>12900.0</v>
      </c>
      <c r="E16" s="12">
        <v>0.0</v>
      </c>
      <c r="F16" s="13" t="s">
        <v>16</v>
      </c>
      <c r="G16" s="15"/>
      <c r="H16" s="15"/>
      <c r="I16" s="14">
        <v>6.0</v>
      </c>
      <c r="J16" s="14">
        <v>2150.0</v>
      </c>
      <c r="K16" s="16" t="s">
        <v>61</v>
      </c>
      <c r="L16" s="14" t="s">
        <v>18</v>
      </c>
      <c r="M16" s="15"/>
      <c r="N16" s="15"/>
      <c r="O16" s="15"/>
      <c r="P16" s="15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.75" customHeight="1">
      <c r="A17" s="30"/>
      <c r="B17" s="26" t="s">
        <v>62</v>
      </c>
      <c r="C17" s="18" t="s">
        <v>63</v>
      </c>
      <c r="D17" s="14">
        <v>3000.0</v>
      </c>
      <c r="E17" s="12">
        <v>3096.0</v>
      </c>
      <c r="F17" s="13" t="s">
        <v>16</v>
      </c>
      <c r="G17" s="14" t="s">
        <v>16</v>
      </c>
      <c r="H17" s="14"/>
      <c r="I17" s="14">
        <v>2.0</v>
      </c>
      <c r="J17" s="14">
        <v>1440.0</v>
      </c>
      <c r="K17" s="22" t="s">
        <v>64</v>
      </c>
      <c r="L17" s="14" t="s">
        <v>23</v>
      </c>
      <c r="M17" s="18" t="s">
        <v>65</v>
      </c>
      <c r="N17" s="15"/>
      <c r="O17" s="15"/>
      <c r="P17" s="15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.75" customHeight="1">
      <c r="A18" s="31" t="s">
        <v>66</v>
      </c>
      <c r="B18" s="9" t="s">
        <v>67</v>
      </c>
      <c r="C18" s="18" t="s">
        <v>68</v>
      </c>
      <c r="D18" s="14">
        <v>12000.0</v>
      </c>
      <c r="E18" s="12">
        <v>12719.0</v>
      </c>
      <c r="F18" s="13" t="s">
        <v>16</v>
      </c>
      <c r="G18" s="14" t="s">
        <v>16</v>
      </c>
      <c r="H18" s="15"/>
      <c r="I18" s="14">
        <v>1.0</v>
      </c>
      <c r="J18" s="14">
        <v>12000.0</v>
      </c>
      <c r="L18" s="14" t="s">
        <v>23</v>
      </c>
      <c r="M18" s="18" t="s">
        <v>69</v>
      </c>
      <c r="N18" s="18" t="s">
        <v>70</v>
      </c>
      <c r="O18" s="15"/>
      <c r="P18" s="15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s="30"/>
      <c r="B19" s="26" t="s">
        <v>71</v>
      </c>
      <c r="C19" s="18" t="s">
        <v>72</v>
      </c>
      <c r="D19" s="14">
        <v>12000.0</v>
      </c>
      <c r="E19" s="12">
        <v>13323.0</v>
      </c>
      <c r="F19" s="13" t="s">
        <v>16</v>
      </c>
      <c r="G19" s="15"/>
      <c r="H19" s="15"/>
      <c r="I19" s="14">
        <v>1.0</v>
      </c>
      <c r="J19" s="14">
        <v>10990.0</v>
      </c>
      <c r="K19" s="24" t="s">
        <v>73</v>
      </c>
      <c r="L19" s="14" t="s">
        <v>74</v>
      </c>
      <c r="M19" s="18" t="s">
        <v>75</v>
      </c>
      <c r="N19" s="18" t="s">
        <v>70</v>
      </c>
      <c r="O19" s="15"/>
      <c r="P19" s="15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30"/>
      <c r="B20" s="9" t="s">
        <v>76</v>
      </c>
      <c r="C20" s="15"/>
      <c r="D20" s="14">
        <v>2700.0</v>
      </c>
      <c r="E20" s="12">
        <v>2175.0</v>
      </c>
      <c r="F20" s="13" t="s">
        <v>16</v>
      </c>
      <c r="G20" s="14" t="s">
        <v>16</v>
      </c>
      <c r="H20" s="15"/>
      <c r="I20" s="14">
        <v>1.0</v>
      </c>
      <c r="J20" s="14">
        <v>2590.0</v>
      </c>
      <c r="K20" s="22" t="s">
        <v>77</v>
      </c>
      <c r="L20" s="14" t="s">
        <v>74</v>
      </c>
      <c r="M20" s="15"/>
      <c r="N20" s="15"/>
      <c r="O20" s="15"/>
      <c r="P20" s="15"/>
      <c r="Q20" s="7"/>
      <c r="R20" s="7"/>
      <c r="S20" s="2" t="s">
        <v>78</v>
      </c>
      <c r="T20" s="4" t="s">
        <v>2</v>
      </c>
      <c r="U20" s="4" t="s">
        <v>3</v>
      </c>
      <c r="V20" s="4" t="s">
        <v>7</v>
      </c>
      <c r="W20" s="4" t="s">
        <v>8</v>
      </c>
      <c r="X20" s="3" t="s">
        <v>9</v>
      </c>
      <c r="Y20" s="3" t="s">
        <v>10</v>
      </c>
      <c r="Z20" s="4" t="s">
        <v>11</v>
      </c>
      <c r="AA20" s="32" t="s">
        <v>79</v>
      </c>
      <c r="AB20" s="7"/>
    </row>
    <row r="21" ht="15.75" customHeight="1">
      <c r="A21" s="30"/>
      <c r="B21" s="26" t="s">
        <v>80</v>
      </c>
      <c r="C21" s="14" t="s">
        <v>81</v>
      </c>
      <c r="D21" s="14">
        <v>15000.0</v>
      </c>
      <c r="E21" s="12">
        <v>15685.0</v>
      </c>
      <c r="F21" s="13" t="s">
        <v>16</v>
      </c>
      <c r="G21" s="14" t="s">
        <v>16</v>
      </c>
      <c r="H21" s="15"/>
      <c r="I21" s="14">
        <v>1.0</v>
      </c>
      <c r="J21" s="14">
        <v>15000.0</v>
      </c>
      <c r="K21" s="24" t="s">
        <v>82</v>
      </c>
      <c r="L21" s="14" t="s">
        <v>23</v>
      </c>
      <c r="M21" s="18" t="s">
        <v>83</v>
      </c>
      <c r="N21" s="15"/>
      <c r="O21" s="15"/>
      <c r="P21" s="15"/>
      <c r="Q21" s="7"/>
      <c r="R21" s="7"/>
      <c r="S21" s="2"/>
      <c r="T21" s="33"/>
      <c r="U21" s="33"/>
      <c r="V21" s="33"/>
      <c r="W21" s="33"/>
      <c r="X21" s="33"/>
      <c r="Y21" s="33"/>
      <c r="Z21" s="33"/>
      <c r="AA21" s="7"/>
      <c r="AB21" s="7"/>
    </row>
    <row r="22" ht="15.75" customHeight="1">
      <c r="A22" s="30"/>
      <c r="B22" s="26" t="s">
        <v>84</v>
      </c>
      <c r="C22" s="15"/>
      <c r="D22" s="14">
        <v>1550.0</v>
      </c>
      <c r="E22" s="19"/>
      <c r="F22" s="27"/>
      <c r="G22" s="15"/>
      <c r="H22" s="15"/>
      <c r="I22" s="15"/>
      <c r="J22" s="15"/>
      <c r="K22" s="16" t="s">
        <v>85</v>
      </c>
      <c r="L22" s="14" t="s">
        <v>23</v>
      </c>
      <c r="M22" s="15"/>
      <c r="N22" s="15"/>
      <c r="O22" s="15"/>
      <c r="P22" s="15"/>
      <c r="Q22" s="7"/>
      <c r="R22" s="7"/>
      <c r="S22" s="26"/>
      <c r="T22" s="34"/>
      <c r="U22" s="33"/>
      <c r="V22" s="33"/>
      <c r="W22" s="33"/>
      <c r="X22" s="35"/>
      <c r="Y22" s="33"/>
      <c r="Z22" s="33"/>
      <c r="AA22" s="7"/>
      <c r="AB22" s="7"/>
    </row>
    <row r="23" ht="15.75" customHeight="1">
      <c r="A23" s="30"/>
      <c r="B23" s="9" t="s">
        <v>86</v>
      </c>
      <c r="C23" s="15"/>
      <c r="D23" s="15"/>
      <c r="E23" s="19">
        <f>J23*I23</f>
        <v>0</v>
      </c>
      <c r="F23" s="13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7"/>
      <c r="R23" s="7"/>
      <c r="S23" s="26" t="s">
        <v>87</v>
      </c>
      <c r="T23" s="34">
        <v>698.0</v>
      </c>
      <c r="U23" s="33"/>
      <c r="V23" s="34">
        <v>2.0</v>
      </c>
      <c r="W23" s="34">
        <v>349.0</v>
      </c>
      <c r="X23" s="36" t="s">
        <v>88</v>
      </c>
      <c r="Y23" s="33"/>
      <c r="Z23" s="33"/>
      <c r="AA23" s="32" t="s">
        <v>16</v>
      </c>
      <c r="AB23" s="7"/>
    </row>
    <row r="24" ht="15.75" customHeight="1">
      <c r="A24" s="30"/>
      <c r="B24" s="9" t="s">
        <v>89</v>
      </c>
      <c r="C24" s="14" t="s">
        <v>90</v>
      </c>
      <c r="D24" s="14">
        <v>2980.0</v>
      </c>
      <c r="E24" s="12">
        <v>2987.0</v>
      </c>
      <c r="F24" s="13" t="s">
        <v>16</v>
      </c>
      <c r="G24" s="14" t="s">
        <v>16</v>
      </c>
      <c r="H24" s="15"/>
      <c r="I24" s="14">
        <v>1.0</v>
      </c>
      <c r="J24" s="14">
        <v>2980.0</v>
      </c>
      <c r="K24" s="37" t="s">
        <v>91</v>
      </c>
      <c r="L24" s="15"/>
      <c r="M24" s="15"/>
      <c r="N24" s="15"/>
      <c r="O24" s="15"/>
      <c r="P24" s="15"/>
      <c r="Q24" s="7"/>
      <c r="R24" s="7"/>
      <c r="S24" s="9" t="s">
        <v>92</v>
      </c>
      <c r="T24" s="33"/>
      <c r="U24" s="33"/>
      <c r="V24" s="33"/>
      <c r="W24" s="33"/>
      <c r="X24" s="33"/>
      <c r="Y24" s="33"/>
      <c r="Z24" s="33"/>
      <c r="AA24" s="7"/>
      <c r="AB24" s="7"/>
    </row>
    <row r="25" ht="15.75" customHeight="1">
      <c r="A25" s="30"/>
      <c r="B25" s="9" t="s">
        <v>93</v>
      </c>
      <c r="C25" s="15"/>
      <c r="D25" s="14">
        <v>500.0</v>
      </c>
      <c r="E25" s="15"/>
      <c r="F25" s="27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7"/>
      <c r="R25" s="7"/>
      <c r="S25" s="9" t="s">
        <v>94</v>
      </c>
      <c r="T25" s="34">
        <v>438.0</v>
      </c>
      <c r="U25" s="33"/>
      <c r="V25" s="33"/>
      <c r="W25" s="33"/>
      <c r="X25" s="38" t="s">
        <v>95</v>
      </c>
      <c r="Y25" s="33"/>
      <c r="Z25" s="33"/>
      <c r="AA25" s="7"/>
      <c r="AB25" s="7"/>
    </row>
    <row r="26" ht="15.75" customHeight="1">
      <c r="A26" s="30"/>
      <c r="B26" s="26" t="s">
        <v>96</v>
      </c>
      <c r="C26" s="15"/>
      <c r="D26" s="14">
        <v>1390.0</v>
      </c>
      <c r="E26" s="14">
        <v>700.0</v>
      </c>
      <c r="F26" s="13" t="s">
        <v>16</v>
      </c>
      <c r="G26" s="14" t="s">
        <v>16</v>
      </c>
      <c r="H26" s="15"/>
      <c r="I26" s="15"/>
      <c r="J26" s="14">
        <v>1390.0</v>
      </c>
      <c r="K26" s="39" t="s">
        <v>97</v>
      </c>
      <c r="L26" s="15"/>
      <c r="M26" s="15"/>
      <c r="N26" s="15"/>
      <c r="O26" s="15"/>
      <c r="P26" s="15"/>
      <c r="Q26" s="7"/>
      <c r="R26" s="7"/>
      <c r="S26" s="9"/>
      <c r="T26" s="33"/>
      <c r="U26" s="33"/>
      <c r="V26" s="33"/>
      <c r="W26" s="33"/>
      <c r="X26" s="33"/>
      <c r="Y26" s="33"/>
      <c r="Z26" s="33"/>
      <c r="AA26" s="7"/>
      <c r="AB26" s="7"/>
    </row>
    <row r="27" ht="15.75" customHeight="1">
      <c r="A27" s="30"/>
      <c r="B27" s="9" t="s">
        <v>98</v>
      </c>
      <c r="C27" s="15"/>
      <c r="D27" s="15"/>
      <c r="E27" s="15"/>
      <c r="F27" s="27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7"/>
      <c r="R27" s="7"/>
      <c r="S27" s="9" t="s">
        <v>99</v>
      </c>
      <c r="T27" s="33"/>
      <c r="U27" s="33"/>
      <c r="V27" s="33"/>
      <c r="W27" s="33"/>
      <c r="X27" s="33"/>
      <c r="Y27" s="33"/>
      <c r="Z27" s="33"/>
      <c r="AA27" s="7"/>
      <c r="AB27" s="7"/>
    </row>
    <row r="28" ht="15.75" customHeight="1">
      <c r="A28" s="21"/>
      <c r="B28" s="9" t="s">
        <v>100</v>
      </c>
      <c r="C28" s="15"/>
      <c r="D28" s="15"/>
      <c r="E28" s="19"/>
      <c r="F28" s="27"/>
      <c r="G28" s="15"/>
      <c r="H28" s="15"/>
      <c r="I28" s="15"/>
      <c r="J28" s="15"/>
      <c r="K28" s="15"/>
      <c r="L28" s="15"/>
      <c r="M28" s="15"/>
      <c r="N28" s="15"/>
      <c r="O28" s="15"/>
      <c r="P28" s="19"/>
      <c r="Q28" s="7"/>
      <c r="R28" s="7"/>
      <c r="S28" s="9" t="s">
        <v>101</v>
      </c>
      <c r="T28" s="34">
        <v>49.0</v>
      </c>
      <c r="U28" s="19"/>
      <c r="V28" s="33"/>
      <c r="W28" s="33"/>
      <c r="X28" s="38" t="s">
        <v>102</v>
      </c>
      <c r="Y28" s="33"/>
      <c r="Z28" s="33"/>
      <c r="AA28" s="14" t="s">
        <v>16</v>
      </c>
      <c r="AB28" s="7"/>
    </row>
    <row r="29" ht="15.75" customHeight="1">
      <c r="A29" s="28"/>
      <c r="B29" s="18" t="s">
        <v>103</v>
      </c>
      <c r="C29" s="15"/>
      <c r="D29" s="14">
        <v>590.0</v>
      </c>
      <c r="E29" s="23"/>
      <c r="F29" s="13" t="s">
        <v>16</v>
      </c>
      <c r="G29" s="14" t="s">
        <v>16</v>
      </c>
      <c r="H29" s="15"/>
      <c r="I29" s="15"/>
      <c r="J29" s="14">
        <v>590.0</v>
      </c>
      <c r="K29" s="24" t="s">
        <v>104</v>
      </c>
      <c r="L29" s="14" t="s">
        <v>18</v>
      </c>
      <c r="M29" s="15"/>
      <c r="N29" s="15"/>
      <c r="O29" s="15"/>
      <c r="P29" s="23"/>
      <c r="Q29" s="7"/>
      <c r="R29" s="7"/>
      <c r="S29" s="9" t="s">
        <v>105</v>
      </c>
      <c r="T29" s="34">
        <v>2000.0</v>
      </c>
      <c r="U29" s="19"/>
      <c r="V29" s="33"/>
      <c r="W29" s="33"/>
      <c r="X29" s="36" t="s">
        <v>106</v>
      </c>
      <c r="Y29" s="38" t="s">
        <v>107</v>
      </c>
      <c r="Z29" s="40" t="s">
        <v>108</v>
      </c>
      <c r="AA29" s="7"/>
      <c r="AB29" s="7"/>
    </row>
    <row r="30" ht="15.75" customHeight="1">
      <c r="A30" s="28"/>
      <c r="B30" s="18" t="s">
        <v>109</v>
      </c>
      <c r="C30" s="14" t="s">
        <v>110</v>
      </c>
      <c r="D30" s="14">
        <v>6000.0</v>
      </c>
      <c r="E30" s="23"/>
      <c r="F30" s="13" t="s">
        <v>16</v>
      </c>
      <c r="G30" s="20"/>
      <c r="H30" s="20"/>
      <c r="I30" s="15"/>
      <c r="J30" s="15"/>
      <c r="K30" s="15"/>
      <c r="L30" s="18" t="s">
        <v>111</v>
      </c>
      <c r="M30" s="18" t="s">
        <v>112</v>
      </c>
      <c r="N30" s="15"/>
      <c r="O30" s="15"/>
      <c r="P30" s="23"/>
      <c r="Q30" s="7"/>
      <c r="R30" s="7"/>
      <c r="S30" s="26" t="s">
        <v>113</v>
      </c>
      <c r="T30" s="34">
        <v>265.0</v>
      </c>
      <c r="U30" s="19"/>
      <c r="V30" s="33"/>
      <c r="W30" s="33"/>
      <c r="X30" s="36" t="s">
        <v>114</v>
      </c>
      <c r="Y30" s="33"/>
      <c r="Z30" s="33"/>
      <c r="AA30" s="7"/>
      <c r="AB30" s="7"/>
    </row>
    <row r="31" ht="15.75" customHeight="1">
      <c r="A31" s="41" t="s">
        <v>115</v>
      </c>
      <c r="B31" s="26" t="s">
        <v>116</v>
      </c>
      <c r="C31" s="18" t="s">
        <v>117</v>
      </c>
      <c r="D31" s="14">
        <v>1600.0</v>
      </c>
      <c r="E31" s="42">
        <v>1690.0</v>
      </c>
      <c r="F31" s="13" t="s">
        <v>16</v>
      </c>
      <c r="G31" s="7"/>
      <c r="H31" s="7"/>
      <c r="I31" s="15"/>
      <c r="J31" s="15"/>
      <c r="K31" s="16" t="s">
        <v>118</v>
      </c>
      <c r="L31" s="15"/>
      <c r="M31" s="15"/>
      <c r="N31" s="15"/>
      <c r="O31" s="15"/>
      <c r="P31" s="23"/>
      <c r="Q31" s="7"/>
      <c r="R31" s="7"/>
      <c r="S31" s="9"/>
      <c r="T31" s="33"/>
      <c r="U31" s="19"/>
      <c r="V31" s="33"/>
      <c r="W31" s="33"/>
      <c r="X31" s="33"/>
      <c r="Y31" s="33"/>
      <c r="Z31" s="33"/>
      <c r="AA31" s="7"/>
      <c r="AB31" s="7"/>
    </row>
    <row r="32" ht="15.75" customHeight="1">
      <c r="A32" s="28"/>
      <c r="B32" s="9" t="s">
        <v>43</v>
      </c>
      <c r="C32" s="15"/>
      <c r="D32" s="14">
        <v>3500.0</v>
      </c>
      <c r="E32" s="23"/>
      <c r="F32" s="27"/>
      <c r="G32" s="15"/>
      <c r="H32" s="15"/>
      <c r="I32" s="15"/>
      <c r="J32" s="15"/>
      <c r="K32" s="18" t="s">
        <v>119</v>
      </c>
      <c r="L32" s="15"/>
      <c r="M32" s="15"/>
      <c r="N32" s="15"/>
      <c r="O32" s="15"/>
      <c r="P32" s="23"/>
      <c r="Q32" s="7"/>
      <c r="R32" s="7"/>
      <c r="S32" s="9" t="s">
        <v>120</v>
      </c>
      <c r="T32" s="33"/>
      <c r="U32" s="19"/>
      <c r="V32" s="33"/>
      <c r="W32" s="33"/>
      <c r="X32" s="33"/>
      <c r="Y32" s="33"/>
      <c r="Z32" s="33"/>
      <c r="AA32" s="32" t="s">
        <v>16</v>
      </c>
      <c r="AB32" s="7"/>
    </row>
    <row r="33" ht="15.75" customHeight="1">
      <c r="A33" s="28"/>
      <c r="B33" s="9" t="s">
        <v>45</v>
      </c>
      <c r="C33" s="15"/>
      <c r="D33" s="15"/>
      <c r="E33" s="23"/>
      <c r="F33" s="27"/>
      <c r="G33" s="15"/>
      <c r="H33" s="15"/>
      <c r="I33" s="15"/>
      <c r="J33" s="15"/>
      <c r="K33" s="15"/>
      <c r="L33" s="15"/>
      <c r="M33" s="15"/>
      <c r="N33" s="18" t="s">
        <v>121</v>
      </c>
      <c r="O33" s="15"/>
      <c r="P33" s="23"/>
      <c r="Q33" s="7"/>
      <c r="R33" s="7"/>
      <c r="S33" s="26" t="s">
        <v>122</v>
      </c>
      <c r="T33" s="15"/>
      <c r="U33" s="43"/>
      <c r="V33" s="33"/>
      <c r="W33" s="33"/>
      <c r="X33" s="33"/>
      <c r="Y33" s="33"/>
      <c r="Z33" s="33"/>
      <c r="AA33" s="7"/>
      <c r="AB33" s="7"/>
    </row>
    <row r="34" ht="15.75" customHeight="1">
      <c r="A34" s="28"/>
      <c r="B34" s="9" t="s">
        <v>123</v>
      </c>
      <c r="C34" s="15"/>
      <c r="D34" s="15"/>
      <c r="E34" s="23"/>
      <c r="F34" s="27"/>
      <c r="G34" s="15"/>
      <c r="H34" s="15"/>
      <c r="I34" s="15"/>
      <c r="J34" s="15"/>
      <c r="K34" s="15"/>
      <c r="L34" s="15"/>
      <c r="M34" s="15"/>
      <c r="N34" s="15"/>
      <c r="O34" s="15"/>
      <c r="P34" s="23"/>
      <c r="Q34" s="20"/>
      <c r="R34" s="7"/>
      <c r="S34" s="26" t="s">
        <v>124</v>
      </c>
      <c r="T34" s="33"/>
      <c r="U34" s="19"/>
      <c r="V34" s="33"/>
      <c r="W34" s="33"/>
      <c r="X34" s="33"/>
      <c r="Y34" s="33"/>
      <c r="Z34" s="33"/>
      <c r="AA34" s="7"/>
      <c r="AB34" s="7"/>
    </row>
    <row r="35" ht="15.75" customHeight="1">
      <c r="A35" s="30"/>
      <c r="B35" s="26" t="s">
        <v>125</v>
      </c>
      <c r="C35" s="15"/>
      <c r="D35" s="14">
        <f>J35*I35</f>
        <v>1072</v>
      </c>
      <c r="E35" s="14">
        <v>650.0</v>
      </c>
      <c r="F35" s="13" t="s">
        <v>16</v>
      </c>
      <c r="G35" s="15"/>
      <c r="H35" s="15"/>
      <c r="I35" s="14">
        <v>2.0</v>
      </c>
      <c r="J35" s="14">
        <v>536.0</v>
      </c>
      <c r="K35" s="44" t="s">
        <v>126</v>
      </c>
      <c r="L35" s="15"/>
      <c r="M35" s="15"/>
      <c r="N35" s="15"/>
      <c r="O35" s="15"/>
      <c r="P35" s="15"/>
      <c r="Q35" s="7"/>
      <c r="R35" s="7"/>
      <c r="S35" s="15"/>
      <c r="T35" s="33"/>
      <c r="U35" s="19"/>
      <c r="V35" s="33"/>
      <c r="W35" s="33"/>
      <c r="X35" s="33"/>
      <c r="Y35" s="33"/>
      <c r="Z35" s="33"/>
      <c r="AA35" s="7"/>
      <c r="AB35" s="7"/>
    </row>
    <row r="36" ht="15.75" customHeight="1">
      <c r="A36" s="30"/>
      <c r="B36" s="26" t="s">
        <v>127</v>
      </c>
      <c r="C36" s="18" t="s">
        <v>128</v>
      </c>
      <c r="D36" s="14">
        <v>1490.0</v>
      </c>
      <c r="E36" s="15"/>
      <c r="F36" s="13" t="s">
        <v>16</v>
      </c>
      <c r="G36" s="14" t="s">
        <v>16</v>
      </c>
      <c r="H36" s="15"/>
      <c r="I36" s="14"/>
      <c r="J36" s="15"/>
      <c r="K36" s="16" t="s">
        <v>129</v>
      </c>
      <c r="L36" s="14" t="s">
        <v>18</v>
      </c>
      <c r="M36" s="15"/>
      <c r="N36" s="15"/>
      <c r="O36" s="15"/>
      <c r="P36" s="15"/>
      <c r="Q36" s="7"/>
      <c r="R36" s="7"/>
      <c r="S36" s="15"/>
      <c r="T36" s="33"/>
      <c r="U36" s="19"/>
      <c r="V36" s="33"/>
      <c r="W36" s="33"/>
      <c r="X36" s="33"/>
      <c r="Y36" s="33"/>
      <c r="Z36" s="33"/>
      <c r="AA36" s="7"/>
      <c r="AB36" s="7"/>
    </row>
    <row r="37" ht="15.75" customHeight="1">
      <c r="A37" s="26" t="s">
        <v>130</v>
      </c>
      <c r="B37" s="26" t="s">
        <v>131</v>
      </c>
      <c r="C37" s="15"/>
      <c r="D37" s="14">
        <v>2286.0</v>
      </c>
      <c r="E37" s="14">
        <v>683.0</v>
      </c>
      <c r="F37" s="13" t="s">
        <v>16</v>
      </c>
      <c r="G37" s="15"/>
      <c r="H37" s="15"/>
      <c r="I37" s="14">
        <v>3.0</v>
      </c>
      <c r="J37" s="14">
        <v>762.0</v>
      </c>
      <c r="K37" s="16" t="s">
        <v>132</v>
      </c>
      <c r="L37" s="14" t="s">
        <v>23</v>
      </c>
      <c r="M37" s="18" t="s">
        <v>133</v>
      </c>
      <c r="N37" s="15"/>
      <c r="O37" s="15"/>
      <c r="P37" s="15"/>
      <c r="Q37" s="7"/>
      <c r="R37" s="7"/>
      <c r="S37" s="15"/>
      <c r="T37" s="33"/>
      <c r="U37" s="19"/>
      <c r="V37" s="33"/>
      <c r="W37" s="33"/>
      <c r="X37" s="33"/>
      <c r="Y37" s="33"/>
      <c r="Z37" s="33"/>
      <c r="AA37" s="7"/>
      <c r="AB37" s="7"/>
    </row>
    <row r="38" ht="15.75" customHeight="1">
      <c r="A38" s="26"/>
      <c r="B38" s="26" t="s">
        <v>134</v>
      </c>
      <c r="C38" s="15"/>
      <c r="D38" s="14">
        <v>1990.0</v>
      </c>
      <c r="E38" s="15"/>
      <c r="F38" s="13" t="s">
        <v>16</v>
      </c>
      <c r="G38" s="15"/>
      <c r="H38" s="15"/>
      <c r="I38" s="14"/>
      <c r="J38" s="15"/>
      <c r="K38" s="16" t="s">
        <v>135</v>
      </c>
      <c r="L38" s="14" t="s">
        <v>18</v>
      </c>
      <c r="M38" s="15"/>
      <c r="N38" s="15"/>
      <c r="O38" s="15"/>
      <c r="P38" s="15"/>
      <c r="Q38" s="7"/>
      <c r="R38" s="7"/>
      <c r="S38" s="15"/>
      <c r="T38" s="33"/>
      <c r="U38" s="19"/>
      <c r="V38" s="33"/>
      <c r="W38" s="33"/>
      <c r="X38" s="33"/>
      <c r="Y38" s="33"/>
      <c r="Z38" s="33"/>
      <c r="AA38" s="7"/>
      <c r="AB38" s="7"/>
    </row>
    <row r="39" ht="15.75" customHeight="1">
      <c r="A39" s="26"/>
      <c r="B39" s="26" t="s">
        <v>136</v>
      </c>
      <c r="C39" s="15"/>
      <c r="D39" s="15"/>
      <c r="E39" s="15"/>
      <c r="F39" s="13"/>
      <c r="G39" s="15"/>
      <c r="H39" s="15"/>
      <c r="I39" s="14"/>
      <c r="J39" s="15"/>
      <c r="K39" s="15"/>
      <c r="L39" s="15"/>
      <c r="M39" s="15"/>
      <c r="N39" s="15"/>
      <c r="O39" s="15"/>
      <c r="P39" s="15"/>
      <c r="Q39" s="7"/>
      <c r="R39" s="7"/>
      <c r="S39" s="15"/>
      <c r="T39" s="33"/>
      <c r="U39" s="19"/>
      <c r="V39" s="33"/>
      <c r="W39" s="33"/>
      <c r="X39" s="33"/>
      <c r="Y39" s="33"/>
      <c r="Z39" s="33"/>
      <c r="AA39" s="7"/>
      <c r="AB39" s="7"/>
    </row>
    <row r="40" ht="15.75" customHeight="1">
      <c r="A40" s="26"/>
      <c r="B40" s="26" t="s">
        <v>84</v>
      </c>
      <c r="C40" s="15"/>
      <c r="D40" s="15">
        <f>J40*I40</f>
        <v>1200</v>
      </c>
      <c r="E40" s="14">
        <v>1420.0</v>
      </c>
      <c r="F40" s="13" t="s">
        <v>16</v>
      </c>
      <c r="G40" s="15"/>
      <c r="H40" s="15"/>
      <c r="I40" s="14">
        <v>3.0</v>
      </c>
      <c r="J40" s="14">
        <v>400.0</v>
      </c>
      <c r="K40" s="24" t="s">
        <v>137</v>
      </c>
      <c r="L40" s="15"/>
      <c r="M40" s="15"/>
      <c r="N40" s="15"/>
      <c r="O40" s="15"/>
      <c r="P40" s="15"/>
      <c r="Q40" s="7"/>
      <c r="R40" s="7"/>
      <c r="S40" s="15"/>
      <c r="T40" s="33"/>
      <c r="U40" s="19"/>
      <c r="V40" s="33"/>
      <c r="W40" s="33"/>
      <c r="X40" s="33"/>
      <c r="Y40" s="33"/>
      <c r="Z40" s="33"/>
      <c r="AA40" s="7"/>
      <c r="AB40" s="7"/>
    </row>
    <row r="41" ht="15.75" customHeight="1">
      <c r="A41" s="45" t="s">
        <v>138</v>
      </c>
      <c r="B41" s="9" t="s">
        <v>139</v>
      </c>
      <c r="C41" s="15"/>
      <c r="D41" s="14">
        <v>28642.0</v>
      </c>
      <c r="E41" s="14">
        <v>90143.0</v>
      </c>
      <c r="F41" s="13" t="s">
        <v>16</v>
      </c>
      <c r="G41" s="15"/>
      <c r="H41" s="15"/>
      <c r="I41" s="15"/>
      <c r="J41" s="15"/>
      <c r="K41" s="15"/>
      <c r="L41" s="15"/>
      <c r="M41" s="25" t="s">
        <v>140</v>
      </c>
      <c r="N41" s="18" t="s">
        <v>141</v>
      </c>
      <c r="O41" s="15"/>
      <c r="P41" s="15"/>
      <c r="Q41" s="20"/>
      <c r="R41" s="7"/>
      <c r="S41" s="30"/>
      <c r="T41" s="33"/>
      <c r="U41" s="19"/>
      <c r="V41" s="33"/>
      <c r="W41" s="33"/>
      <c r="X41" s="33"/>
      <c r="Y41" s="33"/>
      <c r="Z41" s="33"/>
      <c r="AA41" s="7"/>
      <c r="AB41" s="7"/>
    </row>
    <row r="42" ht="15.75" customHeight="1">
      <c r="A42" s="21"/>
      <c r="B42" s="9" t="s">
        <v>142</v>
      </c>
      <c r="C42" s="15"/>
      <c r="D42" s="14">
        <v>12940.0</v>
      </c>
      <c r="E42" s="19"/>
      <c r="F42" s="13" t="s">
        <v>16</v>
      </c>
      <c r="G42" s="15"/>
      <c r="H42" s="15"/>
      <c r="I42" s="15"/>
      <c r="J42" s="15"/>
      <c r="K42" s="16" t="s">
        <v>143</v>
      </c>
      <c r="L42" s="14" t="s">
        <v>58</v>
      </c>
      <c r="M42" s="15"/>
      <c r="N42" s="15"/>
      <c r="O42" s="15"/>
      <c r="P42" s="19"/>
      <c r="Q42" s="7"/>
      <c r="R42" s="7"/>
      <c r="S42" s="30"/>
      <c r="T42" s="33"/>
      <c r="U42" s="33"/>
      <c r="V42" s="33"/>
      <c r="W42" s="33"/>
      <c r="X42" s="33"/>
      <c r="Y42" s="33"/>
      <c r="Z42" s="33"/>
      <c r="AA42" s="7"/>
      <c r="AB42" s="7"/>
    </row>
    <row r="43" ht="15.75" customHeight="1">
      <c r="A43" s="28"/>
      <c r="B43" s="26" t="s">
        <v>144</v>
      </c>
      <c r="C43" s="15"/>
      <c r="D43" s="15"/>
      <c r="E43" s="23"/>
      <c r="F43" s="27"/>
      <c r="G43" s="15"/>
      <c r="H43" s="15"/>
      <c r="I43" s="15"/>
      <c r="J43" s="15"/>
      <c r="K43" s="15"/>
      <c r="L43" s="15"/>
      <c r="M43" s="15"/>
      <c r="N43" s="15"/>
      <c r="O43" s="15"/>
      <c r="P43" s="23"/>
      <c r="Q43" s="7"/>
      <c r="R43" s="7"/>
      <c r="S43" s="1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28"/>
      <c r="B44" s="9" t="s">
        <v>145</v>
      </c>
      <c r="C44" s="15"/>
      <c r="D44" s="14">
        <v>5600.0</v>
      </c>
      <c r="E44" s="42">
        <v>17256.0</v>
      </c>
      <c r="F44" s="13" t="s">
        <v>16</v>
      </c>
      <c r="G44" s="15"/>
      <c r="H44" s="15"/>
      <c r="I44" s="15"/>
      <c r="J44" s="15"/>
      <c r="K44" s="16" t="s">
        <v>146</v>
      </c>
      <c r="L44" s="15"/>
      <c r="M44" s="18" t="s">
        <v>147</v>
      </c>
      <c r="N44" s="15"/>
      <c r="O44" s="15"/>
      <c r="P44" s="23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30"/>
      <c r="B45" s="9" t="s">
        <v>148</v>
      </c>
      <c r="C45" s="15"/>
      <c r="D45" s="14">
        <v>4580.0</v>
      </c>
      <c r="E45" s="14">
        <v>4580.0</v>
      </c>
      <c r="F45" s="13" t="s">
        <v>16</v>
      </c>
      <c r="G45" s="15"/>
      <c r="H45" s="15"/>
      <c r="I45" s="14">
        <v>2.0</v>
      </c>
      <c r="J45" s="14">
        <v>2290.0</v>
      </c>
      <c r="K45" s="22" t="s">
        <v>149</v>
      </c>
      <c r="L45" s="15"/>
      <c r="M45" s="15"/>
      <c r="N45" s="15"/>
      <c r="O45" s="15"/>
      <c r="P45" s="15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46"/>
      <c r="B46" s="47" t="s">
        <v>150</v>
      </c>
      <c r="C46" s="15"/>
      <c r="D46" s="48"/>
      <c r="E46" s="49"/>
      <c r="F46" s="27"/>
      <c r="G46" s="15"/>
      <c r="H46" s="15"/>
      <c r="I46" s="14"/>
      <c r="J46" s="14"/>
      <c r="K46" s="15"/>
      <c r="L46" s="15"/>
      <c r="M46" s="15"/>
      <c r="N46" s="15"/>
      <c r="O46" s="15"/>
      <c r="P46" s="49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46"/>
      <c r="B47" s="26" t="s">
        <v>24</v>
      </c>
      <c r="C47" s="15"/>
      <c r="D47" s="50">
        <v>838.0</v>
      </c>
      <c r="E47" s="51">
        <v>498.0</v>
      </c>
      <c r="F47" s="13" t="s">
        <v>16</v>
      </c>
      <c r="G47" s="15"/>
      <c r="H47" s="15"/>
      <c r="I47" s="14"/>
      <c r="J47" s="14"/>
      <c r="K47" s="16" t="s">
        <v>151</v>
      </c>
      <c r="L47" s="14" t="s">
        <v>23</v>
      </c>
      <c r="M47" s="15"/>
      <c r="N47" s="15"/>
      <c r="O47" s="15"/>
      <c r="P47" s="49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30"/>
      <c r="B48" s="9" t="s">
        <v>152</v>
      </c>
      <c r="C48" s="15"/>
      <c r="D48" s="14">
        <v>770.0</v>
      </c>
      <c r="E48" s="14">
        <v>710.0</v>
      </c>
      <c r="F48" s="13" t="s">
        <v>16</v>
      </c>
      <c r="G48" s="15"/>
      <c r="H48" s="15"/>
      <c r="I48" s="15"/>
      <c r="J48" s="15"/>
      <c r="K48" s="22" t="s">
        <v>153</v>
      </c>
      <c r="L48" s="14" t="s">
        <v>23</v>
      </c>
      <c r="M48" s="15"/>
      <c r="N48" s="15"/>
      <c r="O48" s="15"/>
      <c r="P48" s="15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46"/>
      <c r="B49" s="26" t="s">
        <v>154</v>
      </c>
      <c r="C49" s="15"/>
      <c r="D49" s="14">
        <v>3800.0</v>
      </c>
      <c r="E49" s="51">
        <v>3049.0</v>
      </c>
      <c r="F49" s="13" t="s">
        <v>16</v>
      </c>
      <c r="G49" s="15"/>
      <c r="H49" s="15"/>
      <c r="I49" s="15"/>
      <c r="J49" s="15"/>
      <c r="K49" s="16" t="s">
        <v>155</v>
      </c>
      <c r="L49" s="14" t="s">
        <v>23</v>
      </c>
      <c r="M49" s="15"/>
      <c r="N49" s="15"/>
      <c r="O49" s="15"/>
      <c r="P49" s="49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30"/>
      <c r="B50" s="26" t="s">
        <v>156</v>
      </c>
      <c r="C50" s="15"/>
      <c r="D50" s="15">
        <f>J50*I50</f>
        <v>376</v>
      </c>
      <c r="E50" s="14">
        <v>376.0</v>
      </c>
      <c r="F50" s="13" t="s">
        <v>16</v>
      </c>
      <c r="G50" s="14" t="s">
        <v>157</v>
      </c>
      <c r="H50" s="14" t="s">
        <v>157</v>
      </c>
      <c r="I50" s="14">
        <v>2.0</v>
      </c>
      <c r="J50" s="14">
        <v>188.0</v>
      </c>
      <c r="K50" s="22" t="s">
        <v>158</v>
      </c>
      <c r="L50" s="15"/>
      <c r="M50" s="18" t="s">
        <v>159</v>
      </c>
      <c r="N50" s="15"/>
      <c r="O50" s="15"/>
      <c r="P50" s="15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52" t="s">
        <v>160</v>
      </c>
      <c r="B51" s="26" t="s">
        <v>134</v>
      </c>
      <c r="C51" s="18" t="s">
        <v>161</v>
      </c>
      <c r="D51" s="14">
        <v>110.0</v>
      </c>
      <c r="E51" s="14">
        <v>1080.0</v>
      </c>
      <c r="F51" s="13" t="s">
        <v>16</v>
      </c>
      <c r="G51" s="14" t="s">
        <v>157</v>
      </c>
      <c r="H51" s="14" t="s">
        <v>16</v>
      </c>
      <c r="I51" s="14"/>
      <c r="J51" s="14">
        <v>1100.0</v>
      </c>
      <c r="K51" s="44" t="s">
        <v>162</v>
      </c>
      <c r="L51" s="15"/>
      <c r="M51" s="18" t="s">
        <v>163</v>
      </c>
      <c r="N51" s="15"/>
      <c r="O51" s="15"/>
      <c r="P51" s="15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26"/>
      <c r="B52" s="26" t="s">
        <v>164</v>
      </c>
      <c r="C52" s="18"/>
      <c r="D52" s="14">
        <f>J52*I52</f>
        <v>1500</v>
      </c>
      <c r="E52" s="14">
        <v>1450.0</v>
      </c>
      <c r="F52" s="13" t="s">
        <v>16</v>
      </c>
      <c r="G52" s="14" t="s">
        <v>157</v>
      </c>
      <c r="H52" s="14" t="s">
        <v>16</v>
      </c>
      <c r="I52" s="14">
        <v>3.0</v>
      </c>
      <c r="J52" s="14">
        <v>500.0</v>
      </c>
      <c r="K52" s="24" t="s">
        <v>165</v>
      </c>
      <c r="L52" s="15"/>
      <c r="M52" s="15"/>
      <c r="N52" s="15"/>
      <c r="O52" s="15"/>
      <c r="P52" s="15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26"/>
      <c r="B53" s="26" t="s">
        <v>166</v>
      </c>
      <c r="C53" s="18"/>
      <c r="D53" s="14">
        <v>850.0</v>
      </c>
      <c r="E53" s="15"/>
      <c r="F53" s="27"/>
      <c r="G53" s="15"/>
      <c r="H53" s="15"/>
      <c r="I53" s="14">
        <v>1.0</v>
      </c>
      <c r="J53" s="14">
        <v>850.0</v>
      </c>
      <c r="K53" s="16" t="s">
        <v>167</v>
      </c>
      <c r="L53" s="15"/>
      <c r="M53" s="15"/>
      <c r="N53" s="15"/>
      <c r="O53" s="15"/>
      <c r="P53" s="15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26"/>
      <c r="B54" s="26" t="s">
        <v>168</v>
      </c>
      <c r="C54" s="18"/>
      <c r="D54" s="14">
        <v>2198.0</v>
      </c>
      <c r="E54" s="15"/>
      <c r="F54" s="13" t="s">
        <v>16</v>
      </c>
      <c r="G54" s="15"/>
      <c r="H54" s="15"/>
      <c r="I54" s="14"/>
      <c r="J54" s="15"/>
      <c r="K54" s="14"/>
      <c r="L54" s="15"/>
      <c r="M54" s="15"/>
      <c r="N54" s="15"/>
      <c r="O54" s="15"/>
      <c r="P54" s="15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26"/>
      <c r="B55" s="26" t="s">
        <v>169</v>
      </c>
      <c r="C55" s="14" t="s">
        <v>170</v>
      </c>
      <c r="D55" s="14">
        <v>640.0</v>
      </c>
      <c r="E55" s="14">
        <v>326.0</v>
      </c>
      <c r="F55" s="13" t="s">
        <v>16</v>
      </c>
      <c r="G55" s="14" t="s">
        <v>16</v>
      </c>
      <c r="H55" s="14" t="s">
        <v>16</v>
      </c>
      <c r="I55" s="14">
        <v>2.0</v>
      </c>
      <c r="J55" s="14">
        <v>320.0</v>
      </c>
      <c r="K55" s="44" t="s">
        <v>171</v>
      </c>
      <c r="L55" s="15"/>
      <c r="M55" s="15"/>
      <c r="N55" s="15"/>
      <c r="O55" s="15"/>
      <c r="P55" s="15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26"/>
      <c r="B56" s="26" t="s">
        <v>172</v>
      </c>
      <c r="C56" s="14"/>
      <c r="D56" s="14">
        <f t="shared" ref="D56:D57" si="3">J56*I56</f>
        <v>390</v>
      </c>
      <c r="E56" s="14">
        <v>380.0</v>
      </c>
      <c r="F56" s="13" t="s">
        <v>16</v>
      </c>
      <c r="G56" s="14" t="s">
        <v>16</v>
      </c>
      <c r="H56" s="14"/>
      <c r="I56" s="14">
        <v>3.0</v>
      </c>
      <c r="J56" s="14">
        <v>130.0</v>
      </c>
      <c r="K56" s="44" t="s">
        <v>173</v>
      </c>
      <c r="L56" s="15"/>
      <c r="M56" s="15"/>
      <c r="N56" s="15"/>
      <c r="O56" s="15"/>
      <c r="P56" s="15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26"/>
      <c r="B57" s="26" t="s">
        <v>174</v>
      </c>
      <c r="C57" s="14"/>
      <c r="D57" s="14">
        <f t="shared" si="3"/>
        <v>1500</v>
      </c>
      <c r="E57" s="14">
        <v>1410.0</v>
      </c>
      <c r="F57" s="13" t="s">
        <v>16</v>
      </c>
      <c r="G57" s="14" t="s">
        <v>16</v>
      </c>
      <c r="H57" s="14" t="s">
        <v>16</v>
      </c>
      <c r="I57" s="14">
        <v>3.0</v>
      </c>
      <c r="J57" s="14">
        <v>500.0</v>
      </c>
      <c r="K57" s="44" t="s">
        <v>175</v>
      </c>
      <c r="L57" s="15"/>
      <c r="M57" s="18" t="s">
        <v>176</v>
      </c>
      <c r="N57" s="15"/>
      <c r="O57" s="15"/>
      <c r="P57" s="15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53" t="s">
        <v>177</v>
      </c>
      <c r="B58" s="26" t="s">
        <v>178</v>
      </c>
      <c r="C58" s="18" t="s">
        <v>179</v>
      </c>
      <c r="D58" s="14">
        <v>1000.0</v>
      </c>
      <c r="E58" s="14">
        <v>1623.0</v>
      </c>
      <c r="F58" s="13" t="s">
        <v>16</v>
      </c>
      <c r="G58" s="14"/>
      <c r="H58" s="15"/>
      <c r="I58" s="14">
        <v>1.0</v>
      </c>
      <c r="J58" s="14">
        <v>900.0</v>
      </c>
      <c r="K58" s="37"/>
      <c r="L58" s="15"/>
      <c r="M58" s="15"/>
      <c r="N58" s="15"/>
      <c r="O58" s="15"/>
      <c r="P58" s="15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26"/>
      <c r="B59" s="26" t="s">
        <v>180</v>
      </c>
      <c r="C59" s="14"/>
      <c r="D59" s="14">
        <v>480.0</v>
      </c>
      <c r="E59" s="14">
        <v>480.0</v>
      </c>
      <c r="F59" s="13" t="s">
        <v>16</v>
      </c>
      <c r="G59" s="14" t="s">
        <v>16</v>
      </c>
      <c r="H59" s="14" t="s">
        <v>16</v>
      </c>
      <c r="I59" s="14">
        <v>2.0</v>
      </c>
      <c r="J59" s="14">
        <v>240.0</v>
      </c>
      <c r="K59" s="24" t="s">
        <v>181</v>
      </c>
      <c r="L59" s="15"/>
      <c r="M59" s="15"/>
      <c r="N59" s="15"/>
      <c r="O59" s="15"/>
      <c r="P59" s="15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26"/>
      <c r="B60" s="26" t="s">
        <v>182</v>
      </c>
      <c r="C60" s="14"/>
      <c r="D60" s="15"/>
      <c r="E60" s="14">
        <v>1034.0</v>
      </c>
      <c r="F60" s="13" t="s">
        <v>16</v>
      </c>
      <c r="G60" s="15"/>
      <c r="H60" s="15"/>
      <c r="I60" s="14"/>
      <c r="J60" s="15"/>
      <c r="K60" s="15"/>
      <c r="L60" s="15"/>
      <c r="M60" s="15"/>
      <c r="N60" s="15"/>
      <c r="O60" s="15"/>
      <c r="P60" s="15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26"/>
      <c r="B61" s="26" t="s">
        <v>183</v>
      </c>
      <c r="C61" s="14"/>
      <c r="D61" s="15">
        <f>J61*I61</f>
        <v>476</v>
      </c>
      <c r="E61" s="14">
        <v>443.0</v>
      </c>
      <c r="F61" s="13" t="s">
        <v>16</v>
      </c>
      <c r="G61" s="15"/>
      <c r="H61" s="15"/>
      <c r="I61" s="14">
        <v>4.0</v>
      </c>
      <c r="J61" s="14">
        <v>119.0</v>
      </c>
      <c r="K61" s="24" t="s">
        <v>184</v>
      </c>
      <c r="L61" s="15"/>
      <c r="M61" s="15"/>
      <c r="N61" s="15"/>
      <c r="O61" s="15"/>
      <c r="P61" s="15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26"/>
      <c r="B62" s="26" t="s">
        <v>164</v>
      </c>
      <c r="C62" s="14"/>
      <c r="D62" s="48"/>
      <c r="E62" s="48"/>
      <c r="F62" s="13" t="s">
        <v>16</v>
      </c>
      <c r="G62" s="14" t="s">
        <v>16</v>
      </c>
      <c r="H62" s="14"/>
      <c r="I62" s="48"/>
      <c r="J62" s="48"/>
      <c r="K62" s="54" t="s">
        <v>185</v>
      </c>
      <c r="L62" s="15"/>
      <c r="M62" s="18" t="s">
        <v>186</v>
      </c>
      <c r="N62" s="15"/>
      <c r="O62" s="15"/>
      <c r="P62" s="15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26"/>
      <c r="B63" s="26" t="s">
        <v>169</v>
      </c>
      <c r="C63" s="14" t="s">
        <v>187</v>
      </c>
      <c r="D63" s="14"/>
      <c r="E63" s="48"/>
      <c r="F63" s="27"/>
      <c r="G63" s="15"/>
      <c r="H63" s="15"/>
      <c r="I63" s="50"/>
      <c r="J63" s="50"/>
      <c r="K63" s="55" t="s">
        <v>185</v>
      </c>
      <c r="L63" s="15"/>
      <c r="M63" s="18"/>
      <c r="N63" s="15"/>
      <c r="O63" s="15"/>
      <c r="P63" s="15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26"/>
      <c r="B64" s="26" t="s">
        <v>168</v>
      </c>
      <c r="C64" s="18"/>
      <c r="D64" s="14">
        <v>2198.0</v>
      </c>
      <c r="E64" s="48"/>
      <c r="F64" s="13" t="s">
        <v>16</v>
      </c>
      <c r="G64" s="15"/>
      <c r="H64" s="15"/>
      <c r="I64" s="48"/>
      <c r="J64" s="48"/>
      <c r="K64" s="48"/>
      <c r="L64" s="15"/>
      <c r="M64" s="18"/>
      <c r="N64" s="15"/>
      <c r="O64" s="15"/>
      <c r="P64" s="15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56" t="s">
        <v>188</v>
      </c>
      <c r="B65" s="26" t="s">
        <v>189</v>
      </c>
      <c r="C65" s="15"/>
      <c r="D65" s="14">
        <v>5990.0</v>
      </c>
      <c r="E65" s="19"/>
      <c r="F65" s="13" t="s">
        <v>16</v>
      </c>
      <c r="G65" s="15"/>
      <c r="H65" s="15"/>
      <c r="I65" s="14">
        <v>1.0</v>
      </c>
      <c r="J65" s="15"/>
      <c r="K65" s="22" t="s">
        <v>190</v>
      </c>
      <c r="L65" s="14" t="s">
        <v>18</v>
      </c>
      <c r="M65" s="18" t="s">
        <v>191</v>
      </c>
      <c r="N65" s="15"/>
      <c r="O65" s="15"/>
      <c r="P65" s="19"/>
      <c r="Q65" s="7"/>
      <c r="R65" s="7"/>
      <c r="S65" s="2" t="s">
        <v>192</v>
      </c>
      <c r="T65" s="4" t="s">
        <v>2</v>
      </c>
      <c r="U65" s="4" t="s">
        <v>3</v>
      </c>
      <c r="V65" s="4" t="s">
        <v>7</v>
      </c>
      <c r="W65" s="4" t="s">
        <v>8</v>
      </c>
      <c r="X65" s="3" t="s">
        <v>9</v>
      </c>
      <c r="Y65" s="3" t="s">
        <v>10</v>
      </c>
      <c r="Z65" s="4" t="s">
        <v>11</v>
      </c>
      <c r="AA65" s="7"/>
      <c r="AB65" s="7"/>
    </row>
    <row r="66" ht="15.75" customHeight="1">
      <c r="A66" s="28"/>
      <c r="B66" s="9" t="s">
        <v>145</v>
      </c>
      <c r="C66" s="15"/>
      <c r="D66" s="14">
        <v>5190.0</v>
      </c>
      <c r="E66" s="19"/>
      <c r="F66" s="13" t="s">
        <v>16</v>
      </c>
      <c r="G66" s="15"/>
      <c r="H66" s="15"/>
      <c r="I66" s="15"/>
      <c r="J66" s="15"/>
      <c r="K66" s="22" t="s">
        <v>146</v>
      </c>
      <c r="L66" s="15"/>
      <c r="M66" s="15"/>
      <c r="N66" s="15"/>
      <c r="O66" s="15"/>
      <c r="P66" s="57" t="s">
        <v>193</v>
      </c>
      <c r="Q66" s="58" t="s">
        <v>194</v>
      </c>
      <c r="R66" s="7"/>
      <c r="S66" s="59" t="s">
        <v>195</v>
      </c>
      <c r="T66" s="33"/>
      <c r="U66" s="33"/>
      <c r="V66" s="33"/>
      <c r="W66" s="33"/>
      <c r="X66" s="33"/>
      <c r="Y66" s="33"/>
      <c r="Z66" s="33"/>
      <c r="AA66" s="7"/>
      <c r="AB66" s="7"/>
    </row>
    <row r="67" ht="15.75" customHeight="1">
      <c r="A67" s="28"/>
      <c r="B67" s="9" t="s">
        <v>196</v>
      </c>
      <c r="C67" s="15"/>
      <c r="D67" s="14">
        <v>5296.0</v>
      </c>
      <c r="E67" s="19"/>
      <c r="F67" s="13" t="s">
        <v>16</v>
      </c>
      <c r="G67" s="15"/>
      <c r="H67" s="15"/>
      <c r="I67" s="15"/>
      <c r="J67" s="15"/>
      <c r="K67" s="15"/>
      <c r="L67" s="15"/>
      <c r="M67" s="18" t="s">
        <v>197</v>
      </c>
      <c r="N67" s="15"/>
      <c r="O67" s="15"/>
      <c r="P67" s="57"/>
      <c r="Q67" s="7"/>
      <c r="R67" s="7"/>
      <c r="S67" s="59" t="s">
        <v>198</v>
      </c>
      <c r="T67" s="33"/>
      <c r="U67" s="33"/>
      <c r="V67" s="33"/>
      <c r="W67" s="33"/>
      <c r="X67" s="33"/>
      <c r="Y67" s="33"/>
      <c r="Z67" s="33"/>
      <c r="AA67" s="7"/>
      <c r="AB67" s="7"/>
    </row>
    <row r="68" ht="15.75" customHeight="1">
      <c r="A68" s="28"/>
      <c r="B68" s="26" t="s">
        <v>199</v>
      </c>
      <c r="C68" s="15"/>
      <c r="D68" s="15"/>
      <c r="E68" s="12">
        <v>440.0</v>
      </c>
      <c r="F68" s="13" t="s">
        <v>16</v>
      </c>
      <c r="G68" s="15"/>
      <c r="H68" s="15"/>
      <c r="I68" s="15"/>
      <c r="J68" s="15"/>
      <c r="K68" s="15"/>
      <c r="L68" s="15"/>
      <c r="M68" s="15"/>
      <c r="N68" s="15"/>
      <c r="O68" s="15"/>
      <c r="P68" s="23"/>
      <c r="Q68" s="7"/>
      <c r="R68" s="7"/>
      <c r="S68" s="59"/>
      <c r="T68" s="33"/>
      <c r="U68" s="33"/>
      <c r="V68" s="33"/>
      <c r="W68" s="33"/>
      <c r="X68" s="33"/>
      <c r="Y68" s="33"/>
      <c r="Z68" s="33"/>
      <c r="AA68" s="7"/>
      <c r="AB68" s="7"/>
    </row>
    <row r="69" ht="15.75" customHeight="1">
      <c r="A69" s="28"/>
      <c r="B69" s="9" t="s">
        <v>139</v>
      </c>
      <c r="C69" s="15"/>
      <c r="D69" s="14">
        <v>22332.0</v>
      </c>
      <c r="E69" s="19"/>
      <c r="F69" s="13" t="s">
        <v>16</v>
      </c>
      <c r="G69" s="15"/>
      <c r="H69" s="15"/>
      <c r="I69" s="15"/>
      <c r="J69" s="15"/>
      <c r="K69" s="15"/>
      <c r="L69" s="15"/>
      <c r="M69" s="15"/>
      <c r="N69" s="15"/>
      <c r="O69" s="15"/>
      <c r="P69" s="23"/>
      <c r="Q69" s="7"/>
      <c r="R69" s="7"/>
      <c r="S69" s="59" t="s">
        <v>200</v>
      </c>
      <c r="T69" s="33"/>
      <c r="U69" s="33"/>
      <c r="V69" s="33"/>
      <c r="W69" s="33"/>
      <c r="X69" s="33"/>
      <c r="Y69" s="33"/>
      <c r="Z69" s="33"/>
      <c r="AA69" s="7"/>
      <c r="AB69" s="7"/>
    </row>
    <row r="70" ht="15.75" customHeight="1">
      <c r="A70" s="28"/>
      <c r="B70" s="9" t="s">
        <v>201</v>
      </c>
      <c r="C70" s="15"/>
      <c r="D70" s="15"/>
      <c r="E70" s="19"/>
      <c r="F70" s="27"/>
      <c r="G70" s="15"/>
      <c r="H70" s="15"/>
      <c r="I70" s="15"/>
      <c r="J70" s="15"/>
      <c r="K70" s="15"/>
      <c r="L70" s="15"/>
      <c r="M70" s="15"/>
      <c r="N70" s="15"/>
      <c r="O70" s="15"/>
      <c r="P70" s="23"/>
      <c r="Q70" s="7"/>
      <c r="R70" s="7"/>
      <c r="S70" s="59" t="s">
        <v>202</v>
      </c>
      <c r="T70" s="33"/>
      <c r="U70" s="33"/>
      <c r="V70" s="33"/>
      <c r="W70" s="33"/>
      <c r="X70" s="33"/>
      <c r="Y70" s="33"/>
      <c r="Z70" s="33"/>
      <c r="AA70" s="7"/>
      <c r="AB70" s="7"/>
    </row>
    <row r="71" ht="15.75" customHeight="1">
      <c r="A71" s="28"/>
      <c r="B71" s="9" t="s">
        <v>45</v>
      </c>
      <c r="C71" s="15"/>
      <c r="D71" s="15"/>
      <c r="E71" s="19"/>
      <c r="F71" s="27"/>
      <c r="G71" s="15"/>
      <c r="H71" s="15"/>
      <c r="I71" s="15"/>
      <c r="J71" s="15"/>
      <c r="K71" s="15"/>
      <c r="L71" s="15"/>
      <c r="M71" s="15"/>
      <c r="N71" s="15"/>
      <c r="O71" s="15"/>
      <c r="P71" s="23"/>
      <c r="Q71" s="7"/>
      <c r="R71" s="7"/>
      <c r="S71" s="15"/>
      <c r="T71" s="33"/>
      <c r="U71" s="33"/>
      <c r="V71" s="33"/>
      <c r="W71" s="33"/>
      <c r="X71" s="33"/>
      <c r="Y71" s="33"/>
      <c r="Z71" s="33"/>
      <c r="AA71" s="7"/>
      <c r="AB71" s="7"/>
    </row>
    <row r="72" ht="15.75" customHeight="1">
      <c r="A72" s="28"/>
      <c r="B72" s="26" t="s">
        <v>156</v>
      </c>
      <c r="C72" s="15"/>
      <c r="D72" s="14">
        <f>J72*I72</f>
        <v>1580</v>
      </c>
      <c r="E72" s="12">
        <v>3259.0</v>
      </c>
      <c r="F72" s="13" t="s">
        <v>16</v>
      </c>
      <c r="G72" s="14" t="s">
        <v>16</v>
      </c>
      <c r="H72" s="14" t="s">
        <v>16</v>
      </c>
      <c r="I72" s="14">
        <v>2.0</v>
      </c>
      <c r="J72" s="14">
        <v>790.0</v>
      </c>
      <c r="K72" s="24" t="s">
        <v>203</v>
      </c>
      <c r="L72" s="15"/>
      <c r="M72" s="18" t="s">
        <v>204</v>
      </c>
      <c r="N72" s="15"/>
      <c r="O72" s="15"/>
      <c r="P72" s="23"/>
      <c r="Q72" s="7"/>
      <c r="R72" s="7"/>
      <c r="S72" s="15"/>
      <c r="T72" s="33"/>
      <c r="U72" s="33"/>
      <c r="V72" s="33"/>
      <c r="W72" s="33"/>
      <c r="X72" s="33"/>
      <c r="Y72" s="33"/>
      <c r="Z72" s="33"/>
      <c r="AA72" s="7"/>
      <c r="AB72" s="7"/>
    </row>
    <row r="73" ht="15.75" customHeight="1">
      <c r="A73" s="28"/>
      <c r="B73" s="26" t="s">
        <v>205</v>
      </c>
      <c r="C73" s="15"/>
      <c r="D73" s="14">
        <v>500.0</v>
      </c>
      <c r="E73" s="23"/>
      <c r="F73" s="27"/>
      <c r="G73" s="15"/>
      <c r="H73" s="15"/>
      <c r="I73" s="14">
        <v>55.0</v>
      </c>
      <c r="J73" s="14">
        <v>99.0</v>
      </c>
      <c r="K73" s="37"/>
      <c r="L73" s="15"/>
      <c r="M73" s="15"/>
      <c r="N73" s="15"/>
      <c r="O73" s="15"/>
      <c r="P73" s="23"/>
      <c r="Q73" s="7"/>
      <c r="R73" s="7"/>
      <c r="S73" s="15"/>
      <c r="T73" s="33"/>
      <c r="U73" s="33"/>
      <c r="V73" s="33"/>
      <c r="W73" s="33"/>
      <c r="X73" s="33"/>
      <c r="Y73" s="33"/>
      <c r="Z73" s="33"/>
      <c r="AA73" s="7"/>
      <c r="AB73" s="7"/>
    </row>
    <row r="74" ht="15.75" customHeight="1">
      <c r="A74" s="28"/>
      <c r="B74" s="26" t="s">
        <v>24</v>
      </c>
      <c r="C74" s="15"/>
      <c r="D74" s="15"/>
      <c r="E74" s="42">
        <v>1308.0</v>
      </c>
      <c r="F74" s="27"/>
      <c r="G74" s="15"/>
      <c r="H74" s="15"/>
      <c r="I74" s="14"/>
      <c r="J74" s="15"/>
      <c r="K74" s="15"/>
      <c r="L74" s="15"/>
      <c r="M74" s="15"/>
      <c r="N74" s="15"/>
      <c r="O74" s="15"/>
      <c r="P74" s="23"/>
      <c r="Q74" s="7"/>
      <c r="R74" s="7"/>
      <c r="S74" s="15"/>
      <c r="T74" s="33"/>
      <c r="U74" s="33"/>
      <c r="V74" s="33"/>
      <c r="W74" s="33"/>
      <c r="X74" s="33"/>
      <c r="Y74" s="33"/>
      <c r="Z74" s="33"/>
      <c r="AA74" s="7"/>
      <c r="AB74" s="7"/>
    </row>
    <row r="75" ht="15.75" customHeight="1">
      <c r="A75" s="60" t="s">
        <v>206</v>
      </c>
      <c r="B75" s="26" t="s">
        <v>207</v>
      </c>
      <c r="C75" s="61"/>
      <c r="D75" s="11">
        <v>7980.0</v>
      </c>
      <c r="E75" s="62"/>
      <c r="F75" s="13" t="s">
        <v>16</v>
      </c>
      <c r="G75" s="15"/>
      <c r="H75" s="15"/>
      <c r="I75" s="14">
        <v>2.0</v>
      </c>
      <c r="J75" s="14">
        <v>3990.0</v>
      </c>
      <c r="K75" s="16" t="s">
        <v>208</v>
      </c>
      <c r="L75" s="14" t="s">
        <v>18</v>
      </c>
      <c r="M75" s="18" t="s">
        <v>209</v>
      </c>
      <c r="N75" s="15"/>
      <c r="O75" s="15"/>
      <c r="P75" s="62"/>
      <c r="Q75" s="7"/>
      <c r="R75" s="7"/>
      <c r="S75" s="15"/>
      <c r="T75" s="33"/>
      <c r="U75" s="33"/>
      <c r="V75" s="33"/>
      <c r="W75" s="33"/>
      <c r="X75" s="33"/>
      <c r="Y75" s="33"/>
      <c r="Z75" s="33"/>
      <c r="AA75" s="7"/>
      <c r="AB75" s="7"/>
    </row>
    <row r="76" ht="15.75" customHeight="1">
      <c r="A76" s="28"/>
      <c r="B76" s="63" t="s">
        <v>145</v>
      </c>
      <c r="C76" s="20"/>
      <c r="D76" s="14">
        <v>6700.0</v>
      </c>
      <c r="E76" s="15"/>
      <c r="F76" s="13" t="s">
        <v>16</v>
      </c>
      <c r="G76" s="15"/>
      <c r="H76" s="15"/>
      <c r="I76" s="14">
        <v>2.0</v>
      </c>
      <c r="J76" s="14">
        <v>3350.0</v>
      </c>
      <c r="K76" s="15"/>
      <c r="L76" s="15"/>
      <c r="M76" s="15"/>
      <c r="N76" s="15"/>
      <c r="O76" s="15"/>
      <c r="P76" s="15"/>
      <c r="Q76" s="7"/>
      <c r="R76" s="7"/>
      <c r="S76" s="15"/>
      <c r="T76" s="33"/>
      <c r="U76" s="33"/>
      <c r="V76" s="33"/>
      <c r="W76" s="33"/>
      <c r="X76" s="33"/>
      <c r="Y76" s="33"/>
      <c r="Z76" s="33"/>
      <c r="AA76" s="7"/>
      <c r="AB76" s="7"/>
    </row>
    <row r="77" ht="15.75" customHeight="1">
      <c r="A77" s="28"/>
      <c r="B77" s="9" t="s">
        <v>139</v>
      </c>
      <c r="C77" s="15"/>
      <c r="D77" s="14">
        <v>28642.0</v>
      </c>
      <c r="E77" s="19"/>
      <c r="F77" s="13" t="s">
        <v>16</v>
      </c>
      <c r="G77" s="15"/>
      <c r="H77" s="15"/>
      <c r="I77" s="15"/>
      <c r="J77" s="15"/>
      <c r="K77" s="15"/>
      <c r="L77" s="15"/>
      <c r="M77" s="15"/>
      <c r="N77" s="15"/>
      <c r="O77" s="15"/>
      <c r="P77" s="19"/>
      <c r="Q77" s="7"/>
      <c r="R77" s="7"/>
      <c r="S77" s="15"/>
      <c r="T77" s="33"/>
      <c r="U77" s="33"/>
      <c r="V77" s="33"/>
      <c r="W77" s="33"/>
      <c r="X77" s="33"/>
      <c r="Y77" s="33"/>
      <c r="Z77" s="33"/>
      <c r="AA77" s="7"/>
      <c r="AB77" s="7"/>
    </row>
    <row r="78" ht="15.75" customHeight="1">
      <c r="A78" s="28"/>
      <c r="B78" s="9" t="s">
        <v>201</v>
      </c>
      <c r="C78" s="15"/>
      <c r="D78" s="15"/>
      <c r="E78" s="23"/>
      <c r="F78" s="27"/>
      <c r="G78" s="15"/>
      <c r="H78" s="15"/>
      <c r="I78" s="15"/>
      <c r="J78" s="15"/>
      <c r="K78" s="15"/>
      <c r="L78" s="15"/>
      <c r="M78" s="15"/>
      <c r="N78" s="15"/>
      <c r="O78" s="15"/>
      <c r="P78" s="23"/>
      <c r="Q78" s="7"/>
      <c r="R78" s="7"/>
      <c r="S78" s="15"/>
      <c r="T78" s="33"/>
      <c r="U78" s="33"/>
      <c r="V78" s="33"/>
      <c r="W78" s="33"/>
      <c r="X78" s="33"/>
      <c r="Y78" s="33"/>
      <c r="Z78" s="33"/>
      <c r="AA78" s="7"/>
      <c r="AB78" s="7"/>
    </row>
    <row r="79" ht="15.75" customHeight="1">
      <c r="A79" s="28"/>
      <c r="B79" s="64" t="s">
        <v>210</v>
      </c>
      <c r="C79" s="15"/>
      <c r="D79" s="14">
        <v>1981.0</v>
      </c>
      <c r="E79" s="23"/>
      <c r="F79" s="13" t="s">
        <v>16</v>
      </c>
      <c r="G79" s="15"/>
      <c r="H79" s="15"/>
      <c r="I79" s="15"/>
      <c r="J79" s="15"/>
      <c r="K79" s="20"/>
      <c r="L79" s="15"/>
      <c r="M79" s="15"/>
      <c r="N79" s="15"/>
      <c r="O79" s="15"/>
      <c r="P79" s="49"/>
      <c r="Q79" s="7"/>
      <c r="R79" s="7"/>
      <c r="S79" s="15"/>
      <c r="T79" s="33"/>
      <c r="U79" s="33"/>
      <c r="V79" s="33"/>
      <c r="W79" s="33"/>
      <c r="X79" s="33"/>
      <c r="Y79" s="33"/>
      <c r="Z79" s="33"/>
      <c r="AA79" s="7"/>
      <c r="AB79" s="7"/>
    </row>
    <row r="80" ht="15.75" customHeight="1">
      <c r="A80" s="28"/>
      <c r="B80" s="26" t="s">
        <v>156</v>
      </c>
      <c r="C80" s="15"/>
      <c r="D80" s="14">
        <f>J80*I80</f>
        <v>1580</v>
      </c>
      <c r="E80" s="23"/>
      <c r="F80" s="13" t="s">
        <v>16</v>
      </c>
      <c r="G80" s="14" t="s">
        <v>16</v>
      </c>
      <c r="H80" s="14"/>
      <c r="I80" s="14">
        <v>2.0</v>
      </c>
      <c r="J80" s="14">
        <v>790.0</v>
      </c>
      <c r="K80" s="65" t="s">
        <v>203</v>
      </c>
      <c r="L80" s="15"/>
      <c r="M80" s="15"/>
      <c r="N80" s="15"/>
      <c r="O80" s="15"/>
      <c r="P80" s="49"/>
      <c r="Q80" s="7"/>
      <c r="R80" s="7"/>
      <c r="S80" s="15"/>
      <c r="T80" s="33"/>
      <c r="U80" s="33"/>
      <c r="V80" s="33"/>
      <c r="W80" s="33"/>
      <c r="X80" s="33"/>
      <c r="Y80" s="33"/>
      <c r="Z80" s="33"/>
      <c r="AA80" s="7"/>
      <c r="AB80" s="7"/>
    </row>
    <row r="81" ht="15.75" customHeight="1">
      <c r="A81" s="28"/>
      <c r="B81" s="9" t="s">
        <v>45</v>
      </c>
      <c r="C81" s="15"/>
      <c r="D81" s="15"/>
      <c r="E81" s="19"/>
      <c r="F81" s="27"/>
      <c r="G81" s="15"/>
      <c r="H81" s="15"/>
      <c r="I81" s="15"/>
      <c r="J81" s="15"/>
      <c r="K81" s="7"/>
      <c r="L81" s="33"/>
      <c r="M81" s="33"/>
      <c r="N81" s="15"/>
      <c r="O81" s="15"/>
      <c r="P81" s="49"/>
      <c r="Q81" s="7"/>
      <c r="R81" s="7"/>
      <c r="S81" s="15"/>
      <c r="T81" s="33"/>
      <c r="U81" s="33"/>
      <c r="V81" s="33"/>
      <c r="W81" s="33"/>
      <c r="X81" s="33"/>
      <c r="Y81" s="33"/>
      <c r="Z81" s="33"/>
      <c r="AA81" s="7"/>
      <c r="AB81" s="7"/>
    </row>
    <row r="82" ht="15.75" customHeight="1">
      <c r="A82" s="28"/>
      <c r="B82" s="26" t="s">
        <v>24</v>
      </c>
      <c r="C82" s="15"/>
      <c r="D82" s="15"/>
      <c r="E82" s="12">
        <v>1272.0</v>
      </c>
      <c r="F82" s="27"/>
      <c r="G82" s="15"/>
      <c r="H82" s="15"/>
      <c r="I82" s="15"/>
      <c r="J82" s="15"/>
      <c r="K82" s="7"/>
      <c r="L82" s="33"/>
      <c r="M82" s="33"/>
      <c r="N82" s="15"/>
      <c r="O82" s="15"/>
      <c r="P82" s="49"/>
      <c r="Q82" s="7"/>
      <c r="R82" s="7"/>
      <c r="S82" s="15"/>
      <c r="T82" s="33"/>
      <c r="U82" s="33"/>
      <c r="V82" s="33"/>
      <c r="W82" s="33"/>
      <c r="X82" s="33"/>
      <c r="Y82" s="33"/>
      <c r="Z82" s="33"/>
      <c r="AA82" s="7"/>
      <c r="AB82" s="7"/>
    </row>
    <row r="83" ht="15.75" customHeight="1">
      <c r="A83" s="66" t="s">
        <v>211</v>
      </c>
      <c r="B83" s="26" t="s">
        <v>212</v>
      </c>
      <c r="C83" s="14" t="s">
        <v>213</v>
      </c>
      <c r="D83" s="14">
        <v>17990.0</v>
      </c>
      <c r="E83" s="15"/>
      <c r="F83" s="13" t="s">
        <v>16</v>
      </c>
      <c r="G83" s="15"/>
      <c r="H83" s="15"/>
      <c r="I83" s="15"/>
      <c r="J83" s="15"/>
      <c r="K83" s="16" t="s">
        <v>214</v>
      </c>
      <c r="L83" s="14" t="s">
        <v>215</v>
      </c>
      <c r="M83" s="18"/>
      <c r="N83" s="15"/>
      <c r="O83" s="15"/>
      <c r="P83" s="15"/>
      <c r="Q83" s="7"/>
      <c r="R83" s="7"/>
      <c r="S83" s="15"/>
      <c r="T83" s="33"/>
      <c r="U83" s="33"/>
      <c r="V83" s="33"/>
      <c r="W83" s="33"/>
      <c r="X83" s="33"/>
      <c r="Y83" s="33"/>
      <c r="Z83" s="33"/>
      <c r="AA83" s="7"/>
      <c r="AB83" s="7"/>
    </row>
    <row r="84" ht="15.75" customHeight="1">
      <c r="A84" s="67"/>
      <c r="B84" s="26" t="s">
        <v>216</v>
      </c>
      <c r="C84" s="14"/>
      <c r="D84" s="15"/>
      <c r="E84" s="68"/>
      <c r="F84" s="27"/>
      <c r="G84" s="15"/>
      <c r="H84" s="15"/>
      <c r="I84" s="15"/>
      <c r="J84" s="15"/>
      <c r="K84" s="15"/>
      <c r="L84" s="15"/>
      <c r="M84" s="15"/>
      <c r="N84" s="15"/>
      <c r="O84" s="15"/>
      <c r="P84" s="68"/>
      <c r="Q84" s="7"/>
      <c r="R84" s="7"/>
      <c r="S84" s="20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67"/>
      <c r="B85" s="26"/>
      <c r="C85" s="14"/>
      <c r="D85" s="14"/>
      <c r="E85" s="68"/>
      <c r="F85" s="27"/>
      <c r="G85" s="15"/>
      <c r="H85" s="15"/>
      <c r="I85" s="15"/>
      <c r="J85" s="15"/>
      <c r="K85" s="14"/>
      <c r="L85" s="15"/>
      <c r="M85" s="15"/>
      <c r="N85" s="15"/>
      <c r="O85" s="15"/>
      <c r="P85" s="68"/>
      <c r="Q85" s="7"/>
      <c r="R85" s="7"/>
      <c r="S85" s="20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67"/>
      <c r="B86" s="26" t="s">
        <v>125</v>
      </c>
      <c r="C86" s="14"/>
      <c r="D86" s="14">
        <f>J86*I86</f>
        <v>1100</v>
      </c>
      <c r="E86" s="69">
        <v>1160.0</v>
      </c>
      <c r="F86" s="13" t="s">
        <v>16</v>
      </c>
      <c r="G86" s="14" t="s">
        <v>16</v>
      </c>
      <c r="H86" s="14" t="s">
        <v>16</v>
      </c>
      <c r="I86" s="14">
        <v>2.0</v>
      </c>
      <c r="J86" s="14">
        <v>550.0</v>
      </c>
      <c r="K86" s="22" t="s">
        <v>51</v>
      </c>
      <c r="L86" s="15"/>
      <c r="M86" s="15"/>
      <c r="N86" s="18" t="s">
        <v>49</v>
      </c>
      <c r="O86" s="15"/>
      <c r="P86" s="68"/>
      <c r="Q86" s="7"/>
      <c r="R86" s="7"/>
      <c r="S86" s="20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67"/>
      <c r="B87" s="26" t="s">
        <v>217</v>
      </c>
      <c r="C87" s="18" t="s">
        <v>218</v>
      </c>
      <c r="D87" s="15"/>
      <c r="E87" s="68"/>
      <c r="F87" s="27"/>
      <c r="G87" s="15"/>
      <c r="H87" s="15"/>
      <c r="I87" s="15"/>
      <c r="J87" s="15"/>
      <c r="K87" s="15"/>
      <c r="L87" s="15"/>
      <c r="M87" s="15"/>
      <c r="N87" s="15"/>
      <c r="O87" s="15"/>
      <c r="P87" s="68"/>
      <c r="Q87" s="7"/>
      <c r="R87" s="7"/>
      <c r="S87" s="20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46"/>
      <c r="B88" s="26" t="s">
        <v>219</v>
      </c>
      <c r="C88" s="15"/>
      <c r="D88" s="15"/>
      <c r="E88" s="68"/>
      <c r="F88" s="27"/>
      <c r="G88" s="15"/>
      <c r="H88" s="15"/>
      <c r="I88" s="15"/>
      <c r="J88" s="15"/>
      <c r="K88" s="15"/>
      <c r="L88" s="15"/>
      <c r="M88" s="15"/>
      <c r="N88" s="15"/>
      <c r="O88" s="15"/>
      <c r="P88" s="68"/>
      <c r="Q88" s="7"/>
      <c r="R88" s="7"/>
      <c r="S88" s="20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46"/>
      <c r="B89" s="26" t="s">
        <v>220</v>
      </c>
      <c r="C89" s="15"/>
      <c r="D89" s="14">
        <f>I89*J89</f>
        <v>1890</v>
      </c>
      <c r="E89" s="69">
        <v>1620.0</v>
      </c>
      <c r="F89" s="13" t="s">
        <v>16</v>
      </c>
      <c r="G89" s="14" t="s">
        <v>16</v>
      </c>
      <c r="H89" s="14" t="s">
        <v>16</v>
      </c>
      <c r="I89" s="14">
        <v>3.0</v>
      </c>
      <c r="J89" s="14">
        <v>630.0</v>
      </c>
      <c r="K89" s="14" t="s">
        <v>97</v>
      </c>
      <c r="L89" s="14" t="s">
        <v>23</v>
      </c>
      <c r="M89" s="15"/>
      <c r="N89" s="18" t="s">
        <v>194</v>
      </c>
      <c r="O89" s="15"/>
      <c r="P89" s="68"/>
      <c r="Q89" s="7"/>
      <c r="R89" s="7"/>
      <c r="S89" s="20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0" t="s">
        <v>221</v>
      </c>
      <c r="B90" s="9" t="s">
        <v>222</v>
      </c>
      <c r="C90" s="15"/>
      <c r="D90" s="14">
        <v>49000.0</v>
      </c>
      <c r="E90" s="71">
        <v>46000.0</v>
      </c>
      <c r="F90" s="13" t="s">
        <v>16</v>
      </c>
      <c r="G90" s="15"/>
      <c r="H90" s="15"/>
      <c r="I90" s="43"/>
      <c r="J90" s="43"/>
      <c r="K90" s="43"/>
      <c r="L90" s="43"/>
      <c r="M90" s="43"/>
      <c r="N90" s="15"/>
      <c r="O90" s="15"/>
      <c r="P90" s="72"/>
      <c r="Q90" s="7"/>
      <c r="R90" s="7"/>
      <c r="S90" s="20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46"/>
      <c r="B91" s="9" t="s">
        <v>223</v>
      </c>
      <c r="C91" s="15"/>
      <c r="D91" s="14">
        <v>2400.0</v>
      </c>
      <c r="E91" s="51">
        <v>3194.0</v>
      </c>
      <c r="F91" s="13" t="s">
        <v>16</v>
      </c>
      <c r="G91" s="15"/>
      <c r="H91" s="73"/>
      <c r="I91" s="74">
        <v>10.0</v>
      </c>
      <c r="J91" s="74">
        <v>240.0</v>
      </c>
      <c r="K91" s="75" t="s">
        <v>224</v>
      </c>
      <c r="L91" s="74" t="s">
        <v>23</v>
      </c>
      <c r="M91" s="76"/>
      <c r="N91" s="15"/>
      <c r="O91" s="15"/>
      <c r="P91" s="49"/>
      <c r="Q91" s="7"/>
      <c r="R91" s="7"/>
      <c r="S91" s="20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46"/>
      <c r="B92" s="26" t="s">
        <v>225</v>
      </c>
      <c r="C92" s="15"/>
      <c r="D92" s="14"/>
      <c r="E92" s="51">
        <v>1251.0</v>
      </c>
      <c r="F92" s="13" t="s">
        <v>16</v>
      </c>
      <c r="G92" s="15"/>
      <c r="H92" s="73"/>
      <c r="I92" s="74"/>
      <c r="J92" s="74"/>
      <c r="K92" s="74"/>
      <c r="L92" s="74"/>
      <c r="M92" s="76"/>
      <c r="N92" s="15"/>
      <c r="O92" s="15"/>
      <c r="P92" s="49"/>
      <c r="Q92" s="7"/>
      <c r="R92" s="7"/>
      <c r="S92" s="20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46"/>
      <c r="B93" s="9" t="s">
        <v>226</v>
      </c>
      <c r="C93" s="15"/>
      <c r="D93" s="14">
        <v>371.0</v>
      </c>
      <c r="E93" s="51">
        <v>367.0</v>
      </c>
      <c r="F93" s="13" t="s">
        <v>16</v>
      </c>
      <c r="G93" s="15"/>
      <c r="H93" s="73"/>
      <c r="I93" s="23"/>
      <c r="J93" s="23"/>
      <c r="K93" s="77" t="s">
        <v>227</v>
      </c>
      <c r="L93" s="42" t="s">
        <v>23</v>
      </c>
      <c r="M93" s="57" t="s">
        <v>228</v>
      </c>
      <c r="N93" s="15"/>
      <c r="O93" s="15"/>
      <c r="P93" s="49"/>
      <c r="Q93" s="7"/>
      <c r="R93" s="7"/>
      <c r="S93" s="20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46"/>
      <c r="B94" s="9" t="s">
        <v>229</v>
      </c>
      <c r="C94" s="15"/>
      <c r="D94" s="14">
        <v>15000.0</v>
      </c>
      <c r="E94" s="49"/>
      <c r="F94" s="27"/>
      <c r="G94" s="15"/>
      <c r="H94" s="73"/>
      <c r="I94" s="23"/>
      <c r="J94" s="23"/>
      <c r="K94" s="23"/>
      <c r="L94" s="23"/>
      <c r="M94" s="23"/>
      <c r="N94" s="15"/>
      <c r="O94" s="15"/>
      <c r="P94" s="49"/>
      <c r="Q94" s="7"/>
      <c r="R94" s="7"/>
      <c r="S94" s="20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46"/>
      <c r="B95" s="9" t="s">
        <v>230</v>
      </c>
      <c r="C95" s="15"/>
      <c r="D95" s="15"/>
      <c r="E95" s="49"/>
      <c r="F95" s="27"/>
      <c r="G95" s="15"/>
      <c r="H95" s="73"/>
      <c r="I95" s="76"/>
      <c r="J95" s="76"/>
      <c r="K95" s="76"/>
      <c r="L95" s="76"/>
      <c r="M95" s="76"/>
      <c r="N95" s="15"/>
      <c r="O95" s="15"/>
      <c r="P95" s="49"/>
      <c r="Q95" s="7"/>
      <c r="R95" s="7"/>
      <c r="S95" s="20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46"/>
      <c r="B96" s="9" t="s">
        <v>231</v>
      </c>
      <c r="C96" s="15"/>
      <c r="D96" s="14">
        <v>500.0</v>
      </c>
      <c r="E96" s="51">
        <v>451.0</v>
      </c>
      <c r="F96" s="13" t="s">
        <v>16</v>
      </c>
      <c r="G96" s="15"/>
      <c r="H96" s="73"/>
      <c r="I96" s="23"/>
      <c r="J96" s="23"/>
      <c r="K96" s="23"/>
      <c r="L96" s="23"/>
      <c r="M96" s="23"/>
      <c r="N96" s="15"/>
      <c r="O96" s="15"/>
      <c r="P96" s="4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30"/>
      <c r="B97" s="9" t="s">
        <v>232</v>
      </c>
      <c r="C97" s="15"/>
      <c r="D97" s="15"/>
      <c r="E97" s="14" t="s">
        <v>97</v>
      </c>
      <c r="F97" s="27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30"/>
      <c r="B98" s="9" t="s">
        <v>233</v>
      </c>
      <c r="C98" s="15"/>
      <c r="D98" s="15"/>
      <c r="E98" s="15"/>
      <c r="F98" s="27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30"/>
      <c r="B99" s="9" t="s">
        <v>234</v>
      </c>
      <c r="C99" s="15"/>
      <c r="D99" s="14">
        <v>21514.0</v>
      </c>
      <c r="E99" s="14">
        <v>21514.0</v>
      </c>
      <c r="F99" s="13" t="s">
        <v>16</v>
      </c>
      <c r="G99" s="14" t="s">
        <v>16</v>
      </c>
      <c r="H99" s="14" t="s">
        <v>16</v>
      </c>
      <c r="I99" s="15">
        <v>5.0</v>
      </c>
      <c r="J99" s="14">
        <v>4302.0</v>
      </c>
      <c r="K99" s="59"/>
      <c r="L99" s="59"/>
      <c r="M99" s="18" t="s">
        <v>235</v>
      </c>
      <c r="N99" s="15"/>
      <c r="O99" s="15"/>
      <c r="P99" s="15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30"/>
      <c r="B100" s="26" t="s">
        <v>236</v>
      </c>
      <c r="C100" s="15"/>
      <c r="D100" s="14">
        <v>10000.0</v>
      </c>
      <c r="E100" s="15"/>
      <c r="F100" s="27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64"/>
      <c r="B101" s="64" t="s">
        <v>237</v>
      </c>
      <c r="C101" s="15"/>
      <c r="D101" s="14"/>
      <c r="E101" s="14">
        <v>430.0</v>
      </c>
      <c r="F101" s="13" t="s">
        <v>16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30"/>
      <c r="B102" s="64" t="s">
        <v>238</v>
      </c>
      <c r="C102" s="15"/>
      <c r="D102" s="14"/>
      <c r="E102" s="14">
        <v>166.0</v>
      </c>
      <c r="F102" s="13" t="s">
        <v>16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30"/>
      <c r="B103" s="64" t="s">
        <v>239</v>
      </c>
      <c r="C103" s="15"/>
      <c r="D103" s="14"/>
      <c r="E103" s="14">
        <v>136.0</v>
      </c>
      <c r="F103" s="13" t="s">
        <v>16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30"/>
      <c r="B104" s="64" t="s">
        <v>240</v>
      </c>
      <c r="C104" s="15"/>
      <c r="D104" s="14"/>
      <c r="E104" s="14">
        <v>218.0</v>
      </c>
      <c r="F104" s="13" t="s">
        <v>16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30"/>
      <c r="B105" s="64" t="s">
        <v>241</v>
      </c>
      <c r="C105" s="15"/>
      <c r="D105" s="14"/>
      <c r="E105" s="14">
        <v>1053.0</v>
      </c>
      <c r="F105" s="13" t="s">
        <v>16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30"/>
      <c r="B106" s="64" t="s">
        <v>242</v>
      </c>
      <c r="C106" s="15"/>
      <c r="D106" s="14"/>
      <c r="E106" s="14">
        <v>162.0</v>
      </c>
      <c r="F106" s="13" t="s">
        <v>16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30"/>
      <c r="B107" s="64" t="s">
        <v>198</v>
      </c>
      <c r="C107" s="15"/>
      <c r="D107" s="14"/>
      <c r="E107" s="78">
        <v>12526.0</v>
      </c>
      <c r="F107" s="13" t="s">
        <v>16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30"/>
      <c r="B108" s="64" t="s">
        <v>243</v>
      </c>
      <c r="C108" s="15"/>
      <c r="D108" s="14"/>
      <c r="E108" s="78">
        <v>3007.0</v>
      </c>
      <c r="F108" s="13" t="s">
        <v>16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30"/>
      <c r="B109" s="64" t="s">
        <v>244</v>
      </c>
      <c r="C109" s="15"/>
      <c r="D109" s="14"/>
      <c r="E109" s="14">
        <v>2441.0</v>
      </c>
      <c r="F109" s="13" t="s">
        <v>16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30"/>
      <c r="B110" s="26" t="s">
        <v>245</v>
      </c>
      <c r="C110" s="15"/>
      <c r="D110" s="14">
        <v>5000.0</v>
      </c>
      <c r="E110" s="15"/>
      <c r="F110" s="27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30"/>
      <c r="B111" s="64" t="s">
        <v>246</v>
      </c>
      <c r="C111" s="15"/>
      <c r="D111" s="14"/>
      <c r="E111" s="14">
        <v>1758.0</v>
      </c>
      <c r="F111" s="13" t="s">
        <v>16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30"/>
      <c r="B112" s="64" t="s">
        <v>247</v>
      </c>
      <c r="C112" s="15"/>
      <c r="D112" s="14"/>
      <c r="E112" s="14">
        <v>303.0</v>
      </c>
      <c r="F112" s="13" t="s">
        <v>16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30"/>
      <c r="B113" s="64" t="s">
        <v>248</v>
      </c>
      <c r="C113" s="15"/>
      <c r="D113" s="14"/>
      <c r="E113" s="14">
        <v>183.0</v>
      </c>
      <c r="F113" s="13" t="s">
        <v>16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30"/>
      <c r="B114" s="64" t="s">
        <v>94</v>
      </c>
      <c r="C114" s="15"/>
      <c r="D114" s="14"/>
      <c r="E114" s="14">
        <v>761.0</v>
      </c>
      <c r="F114" s="13" t="s">
        <v>16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30"/>
      <c r="B115" s="64" t="s">
        <v>249</v>
      </c>
      <c r="C115" s="15"/>
      <c r="D115" s="14"/>
      <c r="E115" s="14">
        <v>1432.0</v>
      </c>
      <c r="F115" s="13" t="s">
        <v>16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30"/>
      <c r="B116" s="64" t="s">
        <v>250</v>
      </c>
      <c r="C116" s="15"/>
      <c r="D116" s="14"/>
      <c r="E116" s="14">
        <v>1164.0</v>
      </c>
      <c r="F116" s="13" t="s">
        <v>16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30"/>
      <c r="B117" s="64" t="s">
        <v>251</v>
      </c>
      <c r="C117" s="15"/>
      <c r="D117" s="14"/>
      <c r="E117" s="14">
        <v>9191.0</v>
      </c>
      <c r="F117" s="13" t="s">
        <v>16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30"/>
      <c r="B118" s="64" t="s">
        <v>124</v>
      </c>
      <c r="C118" s="15"/>
      <c r="D118" s="14"/>
      <c r="E118" s="14">
        <v>354.0</v>
      </c>
      <c r="F118" s="13" t="s">
        <v>16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30"/>
      <c r="B119" s="64" t="s">
        <v>252</v>
      </c>
      <c r="C119" s="15"/>
      <c r="D119" s="14"/>
      <c r="E119" s="14">
        <v>370.0</v>
      </c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30"/>
      <c r="B120" s="64" t="s">
        <v>253</v>
      </c>
      <c r="C120" s="15"/>
      <c r="D120" s="14"/>
      <c r="E120" s="14">
        <v>339.0</v>
      </c>
      <c r="F120" s="13" t="s">
        <v>16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30"/>
      <c r="B121" s="64" t="s">
        <v>254</v>
      </c>
      <c r="C121" s="15"/>
      <c r="D121" s="14"/>
      <c r="E121" s="14">
        <v>240.0</v>
      </c>
      <c r="F121" s="13" t="s">
        <v>16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30"/>
      <c r="B122" s="26" t="s">
        <v>255</v>
      </c>
      <c r="C122" s="15"/>
      <c r="D122" s="14">
        <v>800.0</v>
      </c>
      <c r="E122" s="14">
        <v>530.0</v>
      </c>
      <c r="F122" s="13" t="s">
        <v>16</v>
      </c>
      <c r="G122" s="15"/>
      <c r="H122" s="15"/>
      <c r="I122" s="14">
        <v>5.0</v>
      </c>
      <c r="J122" s="14">
        <v>100.0</v>
      </c>
      <c r="K122" s="15"/>
      <c r="L122" s="15"/>
      <c r="M122" s="15"/>
      <c r="N122" s="15"/>
      <c r="O122" s="15"/>
      <c r="P122" s="15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30"/>
      <c r="B123" s="64" t="s">
        <v>256</v>
      </c>
      <c r="C123" s="15"/>
      <c r="D123" s="14"/>
      <c r="E123" s="14">
        <v>2154.0</v>
      </c>
      <c r="F123" s="13"/>
      <c r="G123" s="15"/>
      <c r="H123" s="15"/>
      <c r="I123" s="14"/>
      <c r="J123" s="14"/>
      <c r="K123" s="15"/>
      <c r="L123" s="15"/>
      <c r="M123" s="15"/>
      <c r="N123" s="15"/>
      <c r="O123" s="15"/>
      <c r="P123" s="15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30"/>
      <c r="B124" s="64" t="s">
        <v>257</v>
      </c>
      <c r="C124" s="15"/>
      <c r="D124" s="14">
        <v>3000.0</v>
      </c>
      <c r="E124" s="14"/>
      <c r="F124" s="27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30"/>
      <c r="B125" s="26" t="s">
        <v>258</v>
      </c>
      <c r="C125" s="15"/>
      <c r="D125" s="14">
        <v>1500.0</v>
      </c>
      <c r="E125" s="14">
        <v>1333.0</v>
      </c>
      <c r="F125" s="27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30"/>
      <c r="B126" s="26" t="s">
        <v>259</v>
      </c>
      <c r="C126" s="15"/>
      <c r="D126" s="61">
        <f>SUM(D2:D125)</f>
        <v>454594</v>
      </c>
      <c r="E126" s="15"/>
      <c r="F126" s="27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30"/>
      <c r="B127" s="9" t="s">
        <v>260</v>
      </c>
      <c r="C127" s="15"/>
      <c r="D127" s="14">
        <f>SUM(D126*20%)</f>
        <v>90918.8</v>
      </c>
      <c r="E127" s="14">
        <v>90522.0</v>
      </c>
      <c r="F127" s="27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9"/>
      <c r="B128" s="80" t="s">
        <v>261</v>
      </c>
      <c r="C128" s="81"/>
      <c r="D128" s="82">
        <f>SUM(D126+D127)</f>
        <v>545512.8</v>
      </c>
      <c r="E128" s="81">
        <f>SUM(E2:E127)</f>
        <v>536612</v>
      </c>
      <c r="F128" s="83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</row>
    <row r="129" ht="15.75" customHeight="1">
      <c r="A129" s="30"/>
      <c r="B129" s="30"/>
      <c r="C129" s="15"/>
      <c r="D129" s="15"/>
      <c r="E129" s="15"/>
      <c r="F129" s="27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20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30"/>
      <c r="B130" s="30"/>
      <c r="C130" s="15"/>
      <c r="D130" s="15"/>
      <c r="E130" s="15"/>
      <c r="F130" s="27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20"/>
      <c r="R130" s="20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30"/>
      <c r="B131" s="30"/>
      <c r="C131" s="15"/>
      <c r="D131" s="15"/>
      <c r="E131" s="15"/>
      <c r="F131" s="27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20"/>
      <c r="R131" s="20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30"/>
      <c r="B132" s="30"/>
      <c r="C132" s="15"/>
      <c r="D132" s="15"/>
      <c r="E132" s="15"/>
      <c r="F132" s="27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20"/>
      <c r="R132" s="20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30"/>
      <c r="B133" s="30"/>
      <c r="C133" s="15"/>
      <c r="D133" s="18" t="s">
        <v>262</v>
      </c>
      <c r="E133" s="15">
        <f>C135-E128</f>
        <v>-1612</v>
      </c>
      <c r="F133" s="27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20"/>
      <c r="R133" s="20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30"/>
      <c r="B134" s="85" t="s">
        <v>263</v>
      </c>
      <c r="C134" s="86"/>
      <c r="D134" s="15"/>
      <c r="E134" s="15"/>
      <c r="F134" s="27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20"/>
      <c r="R134" s="20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30"/>
      <c r="B135" s="87" t="s">
        <v>264</v>
      </c>
      <c r="C135" s="88">
        <v>535000.0</v>
      </c>
      <c r="D135" s="15"/>
      <c r="E135" s="15"/>
      <c r="F135" s="27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20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30"/>
      <c r="B136" s="87" t="s">
        <v>265</v>
      </c>
      <c r="C136" s="88">
        <v>535000.0</v>
      </c>
      <c r="D136" s="15"/>
      <c r="E136" s="15"/>
      <c r="F136" s="27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20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30"/>
      <c r="B137" s="87" t="s">
        <v>266</v>
      </c>
      <c r="C137" s="88">
        <v>518135.0</v>
      </c>
      <c r="D137" s="15"/>
      <c r="E137" s="15"/>
      <c r="F137" s="27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30"/>
      <c r="B138" s="30"/>
      <c r="C138" s="15"/>
      <c r="D138" s="15"/>
      <c r="E138" s="15"/>
      <c r="F138" s="27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30"/>
      <c r="B139" s="30"/>
      <c r="C139" s="15"/>
      <c r="D139" s="15"/>
      <c r="E139" s="15"/>
      <c r="F139" s="27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30"/>
      <c r="B140" s="30"/>
      <c r="C140" s="15"/>
      <c r="D140" s="15"/>
      <c r="E140" s="15"/>
      <c r="F140" s="27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30"/>
      <c r="B141" s="30"/>
      <c r="C141" s="15"/>
      <c r="D141" s="15"/>
      <c r="E141" s="15"/>
      <c r="F141" s="27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30"/>
      <c r="B142" s="30"/>
      <c r="C142" s="15"/>
      <c r="D142" s="15"/>
      <c r="E142" s="15"/>
      <c r="F142" s="27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89"/>
      <c r="B143" s="30"/>
      <c r="C143" s="61"/>
      <c r="D143" s="61"/>
      <c r="E143" s="61"/>
      <c r="F143" s="27"/>
      <c r="G143" s="15"/>
      <c r="H143" s="15"/>
      <c r="I143" s="15"/>
      <c r="J143" s="15"/>
      <c r="K143" s="15"/>
      <c r="L143" s="15"/>
      <c r="M143" s="15"/>
      <c r="N143" s="15"/>
      <c r="O143" s="15"/>
      <c r="P143" s="6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89"/>
      <c r="B144" s="30"/>
      <c r="C144" s="15"/>
      <c r="D144" s="15"/>
      <c r="E144" s="61"/>
      <c r="F144" s="27"/>
      <c r="G144" s="15"/>
      <c r="H144" s="15"/>
      <c r="I144" s="15"/>
      <c r="J144" s="15"/>
      <c r="K144" s="15"/>
      <c r="L144" s="15"/>
      <c r="M144" s="15"/>
      <c r="N144" s="15"/>
      <c r="O144" s="15"/>
      <c r="P144" s="6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90"/>
      <c r="B145" s="30"/>
      <c r="C145" s="15"/>
      <c r="D145" s="15"/>
      <c r="E145" s="91"/>
      <c r="F145" s="27"/>
      <c r="G145" s="15"/>
      <c r="H145" s="15"/>
      <c r="I145" s="15"/>
      <c r="J145" s="15"/>
      <c r="K145" s="15"/>
      <c r="L145" s="15"/>
      <c r="M145" s="15"/>
      <c r="N145" s="15"/>
      <c r="O145" s="15"/>
      <c r="P145" s="9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30"/>
      <c r="B146" s="30"/>
      <c r="C146" s="15"/>
      <c r="D146" s="15"/>
      <c r="E146" s="15"/>
      <c r="F146" s="27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1"/>
      <c r="B147" s="1"/>
      <c r="C147" s="7"/>
      <c r="D147" s="7"/>
      <c r="E147" s="7"/>
      <c r="F147" s="92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1"/>
      <c r="B148" s="1"/>
      <c r="C148" s="7"/>
      <c r="D148" s="7"/>
      <c r="E148" s="7"/>
      <c r="F148" s="92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1"/>
      <c r="B149" s="1"/>
      <c r="C149" s="7"/>
      <c r="D149" s="7"/>
      <c r="E149" s="7"/>
      <c r="F149" s="92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1"/>
      <c r="B150" s="1"/>
      <c r="C150" s="7"/>
      <c r="D150" s="7"/>
      <c r="E150" s="7"/>
      <c r="F150" s="92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1"/>
      <c r="B151" s="1"/>
      <c r="C151" s="7"/>
      <c r="D151" s="7"/>
      <c r="E151" s="7"/>
      <c r="F151" s="92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1"/>
      <c r="B152" s="1"/>
      <c r="C152" s="7"/>
      <c r="D152" s="7"/>
      <c r="E152" s="7"/>
      <c r="F152" s="92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1"/>
      <c r="B153" s="1"/>
      <c r="C153" s="7"/>
      <c r="D153" s="7"/>
      <c r="E153" s="7"/>
      <c r="F153" s="92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1"/>
      <c r="B154" s="1"/>
      <c r="C154" s="7"/>
      <c r="D154" s="7"/>
      <c r="E154" s="7"/>
      <c r="F154" s="92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1"/>
      <c r="B155" s="1"/>
      <c r="C155" s="7"/>
      <c r="D155" s="7"/>
      <c r="E155" s="7"/>
      <c r="F155" s="92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1"/>
      <c r="B156" s="1"/>
      <c r="C156" s="7"/>
      <c r="D156" s="7"/>
      <c r="E156" s="7"/>
      <c r="F156" s="92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1"/>
      <c r="B157" s="1"/>
      <c r="C157" s="7"/>
      <c r="D157" s="7"/>
      <c r="E157" s="7"/>
      <c r="F157" s="92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1"/>
      <c r="B158" s="1"/>
      <c r="C158" s="7"/>
      <c r="D158" s="7"/>
      <c r="E158" s="7"/>
      <c r="F158" s="92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1"/>
      <c r="B159" s="1"/>
      <c r="C159" s="7"/>
      <c r="D159" s="7"/>
      <c r="E159" s="7"/>
      <c r="F159" s="92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1"/>
      <c r="B160" s="1"/>
      <c r="C160" s="7"/>
      <c r="D160" s="7"/>
      <c r="E160" s="7"/>
      <c r="F160" s="92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1"/>
      <c r="B161" s="1"/>
      <c r="C161" s="7"/>
      <c r="D161" s="7"/>
      <c r="E161" s="7"/>
      <c r="F161" s="92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1"/>
      <c r="B162" s="1"/>
      <c r="C162" s="7"/>
      <c r="D162" s="7"/>
      <c r="E162" s="7"/>
      <c r="F162" s="92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1"/>
      <c r="B163" s="1"/>
      <c r="C163" s="7"/>
      <c r="D163" s="7"/>
      <c r="E163" s="7"/>
      <c r="F163" s="92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1"/>
      <c r="B164" s="1"/>
      <c r="C164" s="7"/>
      <c r="D164" s="7"/>
      <c r="E164" s="7"/>
      <c r="F164" s="92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1"/>
      <c r="B165" s="1"/>
      <c r="C165" s="7"/>
      <c r="D165" s="7"/>
      <c r="E165" s="7"/>
      <c r="F165" s="92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1"/>
      <c r="B166" s="1"/>
      <c r="C166" s="7"/>
      <c r="D166" s="7"/>
      <c r="E166" s="7"/>
      <c r="F166" s="92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1"/>
      <c r="B167" s="1"/>
      <c r="C167" s="7"/>
      <c r="D167" s="7"/>
      <c r="E167" s="7"/>
      <c r="F167" s="92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1"/>
      <c r="B168" s="1"/>
      <c r="C168" s="7"/>
      <c r="D168" s="7"/>
      <c r="E168" s="7"/>
      <c r="F168" s="92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1"/>
      <c r="B169" s="1"/>
      <c r="C169" s="7"/>
      <c r="D169" s="7"/>
      <c r="E169" s="7"/>
      <c r="F169" s="92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1"/>
      <c r="B170" s="1"/>
      <c r="C170" s="7"/>
      <c r="D170" s="7"/>
      <c r="E170" s="7"/>
      <c r="F170" s="92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1"/>
      <c r="B171" s="1"/>
      <c r="C171" s="7"/>
      <c r="D171" s="7"/>
      <c r="E171" s="7"/>
      <c r="F171" s="92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1"/>
      <c r="B172" s="1"/>
      <c r="C172" s="7"/>
      <c r="D172" s="7"/>
      <c r="E172" s="7"/>
      <c r="F172" s="92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1"/>
      <c r="B173" s="1"/>
      <c r="C173" s="7"/>
      <c r="D173" s="7"/>
      <c r="E173" s="7"/>
      <c r="F173" s="92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1"/>
      <c r="B174" s="1"/>
      <c r="C174" s="7"/>
      <c r="D174" s="7"/>
      <c r="E174" s="7"/>
      <c r="F174" s="92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1"/>
      <c r="B175" s="1"/>
      <c r="C175" s="7"/>
      <c r="D175" s="7"/>
      <c r="E175" s="7"/>
      <c r="F175" s="92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1"/>
      <c r="B176" s="1"/>
      <c r="C176" s="7"/>
      <c r="D176" s="7"/>
      <c r="E176" s="7"/>
      <c r="F176" s="92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1"/>
      <c r="B177" s="1"/>
      <c r="C177" s="7"/>
      <c r="D177" s="7"/>
      <c r="E177" s="7"/>
      <c r="F177" s="92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1"/>
      <c r="B178" s="1"/>
      <c r="C178" s="7"/>
      <c r="D178" s="7"/>
      <c r="E178" s="7"/>
      <c r="F178" s="92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1"/>
      <c r="B179" s="1"/>
      <c r="C179" s="7"/>
      <c r="D179" s="7"/>
      <c r="E179" s="7"/>
      <c r="F179" s="92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1"/>
      <c r="B180" s="1"/>
      <c r="C180" s="7"/>
      <c r="D180" s="7"/>
      <c r="E180" s="7"/>
      <c r="F180" s="92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1"/>
      <c r="B181" s="1"/>
      <c r="C181" s="7"/>
      <c r="D181" s="7"/>
      <c r="E181" s="7"/>
      <c r="F181" s="92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1"/>
      <c r="B182" s="1"/>
      <c r="C182" s="7"/>
      <c r="D182" s="7"/>
      <c r="E182" s="7"/>
      <c r="F182" s="92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1"/>
      <c r="B183" s="1"/>
      <c r="C183" s="7"/>
      <c r="D183" s="7"/>
      <c r="E183" s="7"/>
      <c r="F183" s="92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1"/>
      <c r="B184" s="1"/>
      <c r="C184" s="7"/>
      <c r="D184" s="7"/>
      <c r="E184" s="7"/>
      <c r="F184" s="92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1"/>
      <c r="B185" s="1"/>
      <c r="C185" s="7"/>
      <c r="D185" s="7"/>
      <c r="E185" s="7"/>
      <c r="F185" s="92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1"/>
      <c r="B186" s="1"/>
      <c r="C186" s="7"/>
      <c r="D186" s="7"/>
      <c r="E186" s="7"/>
      <c r="F186" s="92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1"/>
      <c r="B187" s="1"/>
      <c r="C187" s="7"/>
      <c r="D187" s="7"/>
      <c r="E187" s="7"/>
      <c r="F187" s="92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1"/>
      <c r="B188" s="1"/>
      <c r="C188" s="7"/>
      <c r="D188" s="7"/>
      <c r="E188" s="7"/>
      <c r="F188" s="92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1"/>
      <c r="B189" s="1"/>
      <c r="C189" s="7"/>
      <c r="D189" s="7"/>
      <c r="E189" s="7"/>
      <c r="F189" s="92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1"/>
      <c r="B190" s="1"/>
      <c r="C190" s="7"/>
      <c r="D190" s="7"/>
      <c r="E190" s="7"/>
      <c r="F190" s="92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1"/>
      <c r="B191" s="1"/>
      <c r="C191" s="7"/>
      <c r="D191" s="7"/>
      <c r="E191" s="7"/>
      <c r="F191" s="92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1"/>
      <c r="B192" s="1"/>
      <c r="C192" s="7"/>
      <c r="D192" s="7"/>
      <c r="E192" s="7"/>
      <c r="F192" s="92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1"/>
      <c r="B193" s="1"/>
      <c r="C193" s="7"/>
      <c r="D193" s="7"/>
      <c r="E193" s="7"/>
      <c r="F193" s="92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1"/>
      <c r="B194" s="1"/>
      <c r="C194" s="7"/>
      <c r="D194" s="7"/>
      <c r="E194" s="7"/>
      <c r="F194" s="92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1"/>
      <c r="B195" s="1"/>
      <c r="C195" s="7"/>
      <c r="D195" s="7"/>
      <c r="E195" s="7"/>
      <c r="F195" s="92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1"/>
      <c r="B196" s="1"/>
      <c r="C196" s="7"/>
      <c r="D196" s="7"/>
      <c r="E196" s="7"/>
      <c r="F196" s="92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1"/>
      <c r="B197" s="1"/>
      <c r="C197" s="7"/>
      <c r="D197" s="7"/>
      <c r="E197" s="7"/>
      <c r="F197" s="92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1"/>
      <c r="B198" s="1"/>
      <c r="C198" s="7"/>
      <c r="D198" s="7"/>
      <c r="E198" s="7"/>
      <c r="F198" s="92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1"/>
      <c r="B199" s="1"/>
      <c r="C199" s="7"/>
      <c r="D199" s="7"/>
      <c r="E199" s="7"/>
      <c r="F199" s="92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1"/>
      <c r="B200" s="1"/>
      <c r="C200" s="7"/>
      <c r="D200" s="7"/>
      <c r="E200" s="7"/>
      <c r="F200" s="92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1"/>
      <c r="B201" s="1"/>
      <c r="C201" s="7"/>
      <c r="D201" s="7"/>
      <c r="E201" s="7"/>
      <c r="F201" s="92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1"/>
      <c r="B202" s="1"/>
      <c r="C202" s="7"/>
      <c r="D202" s="7"/>
      <c r="E202" s="7"/>
      <c r="F202" s="92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1"/>
      <c r="B203" s="1"/>
      <c r="C203" s="7"/>
      <c r="D203" s="7"/>
      <c r="E203" s="7"/>
      <c r="F203" s="92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1"/>
      <c r="B204" s="1"/>
      <c r="C204" s="7"/>
      <c r="D204" s="7"/>
      <c r="E204" s="7"/>
      <c r="F204" s="92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1"/>
      <c r="B205" s="1"/>
      <c r="C205" s="7"/>
      <c r="D205" s="7"/>
      <c r="E205" s="7"/>
      <c r="F205" s="92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1"/>
      <c r="B206" s="1"/>
      <c r="C206" s="7"/>
      <c r="D206" s="7"/>
      <c r="E206" s="7"/>
      <c r="F206" s="92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1"/>
      <c r="B207" s="1"/>
      <c r="C207" s="7"/>
      <c r="D207" s="7"/>
      <c r="E207" s="7"/>
      <c r="F207" s="92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1"/>
      <c r="B208" s="1"/>
      <c r="C208" s="7"/>
      <c r="D208" s="7"/>
      <c r="E208" s="7"/>
      <c r="F208" s="92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1"/>
      <c r="B209" s="1"/>
      <c r="C209" s="7"/>
      <c r="D209" s="7"/>
      <c r="E209" s="7"/>
      <c r="F209" s="92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1"/>
      <c r="B210" s="1"/>
      <c r="C210" s="7"/>
      <c r="D210" s="7"/>
      <c r="E210" s="7"/>
      <c r="F210" s="92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1"/>
      <c r="B211" s="1"/>
      <c r="C211" s="7"/>
      <c r="D211" s="7"/>
      <c r="E211" s="7"/>
      <c r="F211" s="92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1"/>
      <c r="B212" s="1"/>
      <c r="C212" s="7"/>
      <c r="D212" s="7"/>
      <c r="E212" s="7"/>
      <c r="F212" s="92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1"/>
      <c r="B213" s="1"/>
      <c r="C213" s="7"/>
      <c r="D213" s="7"/>
      <c r="E213" s="7"/>
      <c r="F213" s="92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1"/>
      <c r="B214" s="1"/>
      <c r="C214" s="7"/>
      <c r="D214" s="7"/>
      <c r="E214" s="7"/>
      <c r="F214" s="92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1"/>
      <c r="B215" s="1"/>
      <c r="C215" s="7"/>
      <c r="D215" s="7"/>
      <c r="E215" s="7"/>
      <c r="F215" s="92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1"/>
      <c r="B216" s="1"/>
      <c r="C216" s="7"/>
      <c r="D216" s="7"/>
      <c r="E216" s="7"/>
      <c r="F216" s="92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1"/>
      <c r="B217" s="1"/>
      <c r="C217" s="7"/>
      <c r="D217" s="7"/>
      <c r="E217" s="7"/>
      <c r="F217" s="92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1"/>
      <c r="B218" s="1"/>
      <c r="C218" s="7"/>
      <c r="D218" s="7"/>
      <c r="E218" s="7"/>
      <c r="F218" s="92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1"/>
      <c r="B219" s="1"/>
      <c r="C219" s="7"/>
      <c r="D219" s="7"/>
      <c r="E219" s="7"/>
      <c r="F219" s="92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1"/>
      <c r="B220" s="1"/>
      <c r="C220" s="7"/>
      <c r="D220" s="7"/>
      <c r="E220" s="7"/>
      <c r="F220" s="92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1"/>
      <c r="B221" s="1"/>
      <c r="C221" s="7"/>
      <c r="D221" s="7"/>
      <c r="E221" s="7"/>
      <c r="F221" s="92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1"/>
      <c r="B222" s="1"/>
      <c r="C222" s="7"/>
      <c r="D222" s="7"/>
      <c r="E222" s="7"/>
      <c r="F222" s="92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1"/>
      <c r="B223" s="1"/>
      <c r="C223" s="7"/>
      <c r="D223" s="7"/>
      <c r="E223" s="7"/>
      <c r="F223" s="92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1"/>
      <c r="B224" s="1"/>
      <c r="C224" s="7"/>
      <c r="D224" s="7"/>
      <c r="E224" s="7"/>
      <c r="F224" s="92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1"/>
      <c r="B225" s="1"/>
      <c r="C225" s="7"/>
      <c r="D225" s="7"/>
      <c r="E225" s="7"/>
      <c r="F225" s="92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1"/>
      <c r="B226" s="1"/>
      <c r="C226" s="7"/>
      <c r="D226" s="7"/>
      <c r="E226" s="7"/>
      <c r="F226" s="92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1"/>
      <c r="B227" s="1"/>
      <c r="C227" s="7"/>
      <c r="D227" s="7"/>
      <c r="E227" s="7"/>
      <c r="F227" s="92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1"/>
      <c r="B228" s="1"/>
      <c r="C228" s="7"/>
      <c r="D228" s="7"/>
      <c r="E228" s="7"/>
      <c r="F228" s="92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1"/>
      <c r="B229" s="1"/>
      <c r="C229" s="7"/>
      <c r="D229" s="7"/>
      <c r="E229" s="7"/>
      <c r="F229" s="92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1"/>
      <c r="B230" s="1"/>
      <c r="C230" s="7"/>
      <c r="D230" s="7"/>
      <c r="E230" s="7"/>
      <c r="F230" s="92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1"/>
      <c r="B231" s="1"/>
      <c r="C231" s="7"/>
      <c r="D231" s="7"/>
      <c r="E231" s="7"/>
      <c r="F231" s="92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1"/>
      <c r="B232" s="1"/>
      <c r="C232" s="7"/>
      <c r="D232" s="7"/>
      <c r="E232" s="7"/>
      <c r="F232" s="92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1"/>
      <c r="B233" s="1"/>
      <c r="C233" s="7"/>
      <c r="D233" s="7"/>
      <c r="E233" s="7"/>
      <c r="F233" s="92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1"/>
      <c r="B234" s="1"/>
      <c r="C234" s="7"/>
      <c r="D234" s="7"/>
      <c r="E234" s="7"/>
      <c r="F234" s="92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1"/>
      <c r="B235" s="1"/>
      <c r="C235" s="7"/>
      <c r="D235" s="7"/>
      <c r="E235" s="7"/>
      <c r="F235" s="92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1"/>
      <c r="B236" s="1"/>
      <c r="C236" s="7"/>
      <c r="D236" s="7"/>
      <c r="E236" s="7"/>
      <c r="F236" s="92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1"/>
      <c r="B237" s="1"/>
      <c r="C237" s="7"/>
      <c r="D237" s="7"/>
      <c r="E237" s="7"/>
      <c r="F237" s="92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1"/>
      <c r="B238" s="1"/>
      <c r="C238" s="7"/>
      <c r="D238" s="7"/>
      <c r="E238" s="7"/>
      <c r="F238" s="92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1"/>
      <c r="B239" s="1"/>
      <c r="C239" s="7"/>
      <c r="D239" s="7"/>
      <c r="E239" s="7"/>
      <c r="F239" s="92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1"/>
      <c r="B240" s="1"/>
      <c r="C240" s="7"/>
      <c r="D240" s="7"/>
      <c r="E240" s="7"/>
      <c r="F240" s="92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1"/>
      <c r="B241" s="1"/>
      <c r="C241" s="7"/>
      <c r="D241" s="7"/>
      <c r="E241" s="7"/>
      <c r="F241" s="92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1"/>
      <c r="B242" s="1"/>
      <c r="C242" s="7"/>
      <c r="D242" s="7"/>
      <c r="E242" s="7"/>
      <c r="F242" s="92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1"/>
      <c r="B243" s="1"/>
      <c r="C243" s="7"/>
      <c r="D243" s="7"/>
      <c r="E243" s="7"/>
      <c r="F243" s="92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1"/>
      <c r="B244" s="1"/>
      <c r="C244" s="7"/>
      <c r="D244" s="7"/>
      <c r="E244" s="7"/>
      <c r="F244" s="92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1"/>
      <c r="B245" s="1"/>
      <c r="C245" s="7"/>
      <c r="D245" s="7"/>
      <c r="E245" s="7"/>
      <c r="F245" s="92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1"/>
      <c r="B246" s="1"/>
      <c r="C246" s="7"/>
      <c r="D246" s="7"/>
      <c r="E246" s="7"/>
      <c r="F246" s="92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1"/>
      <c r="B247" s="1"/>
      <c r="C247" s="7"/>
      <c r="D247" s="7"/>
      <c r="E247" s="7"/>
      <c r="F247" s="92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1"/>
      <c r="B248" s="1"/>
      <c r="C248" s="7"/>
      <c r="D248" s="7"/>
      <c r="E248" s="7"/>
      <c r="F248" s="92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1"/>
      <c r="B249" s="1"/>
      <c r="C249" s="7"/>
      <c r="D249" s="7"/>
      <c r="E249" s="7"/>
      <c r="F249" s="92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1"/>
      <c r="B250" s="1"/>
      <c r="C250" s="7"/>
      <c r="D250" s="7"/>
      <c r="E250" s="7"/>
      <c r="F250" s="92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1"/>
      <c r="B251" s="1"/>
      <c r="C251" s="7"/>
      <c r="D251" s="7"/>
      <c r="E251" s="7"/>
      <c r="F251" s="92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1"/>
      <c r="B252" s="1"/>
      <c r="C252" s="7"/>
      <c r="D252" s="7"/>
      <c r="E252" s="7"/>
      <c r="F252" s="92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1"/>
      <c r="B253" s="1"/>
      <c r="C253" s="7"/>
      <c r="D253" s="7"/>
      <c r="E253" s="7"/>
      <c r="F253" s="92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1"/>
      <c r="B254" s="1"/>
      <c r="C254" s="7"/>
      <c r="D254" s="7"/>
      <c r="E254" s="7"/>
      <c r="F254" s="92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1"/>
      <c r="B255" s="1"/>
      <c r="C255" s="7"/>
      <c r="D255" s="7"/>
      <c r="E255" s="7"/>
      <c r="F255" s="92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1"/>
      <c r="B256" s="1"/>
      <c r="C256" s="7"/>
      <c r="D256" s="7"/>
      <c r="E256" s="7"/>
      <c r="F256" s="92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1"/>
      <c r="B257" s="1"/>
      <c r="C257" s="7"/>
      <c r="D257" s="7"/>
      <c r="E257" s="7"/>
      <c r="F257" s="92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1"/>
      <c r="B258" s="1"/>
      <c r="C258" s="7"/>
      <c r="D258" s="7"/>
      <c r="E258" s="7"/>
      <c r="F258" s="92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1"/>
      <c r="B259" s="1"/>
      <c r="C259" s="7"/>
      <c r="D259" s="7"/>
      <c r="E259" s="7"/>
      <c r="F259" s="92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1"/>
      <c r="B260" s="1"/>
      <c r="C260" s="7"/>
      <c r="D260" s="7"/>
      <c r="E260" s="7"/>
      <c r="F260" s="92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1"/>
      <c r="B261" s="1"/>
      <c r="C261" s="7"/>
      <c r="D261" s="7"/>
      <c r="E261" s="7"/>
      <c r="F261" s="92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1"/>
      <c r="B262" s="1"/>
      <c r="C262" s="7"/>
      <c r="D262" s="7"/>
      <c r="E262" s="7"/>
      <c r="F262" s="92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1"/>
      <c r="B263" s="1"/>
      <c r="C263" s="7"/>
      <c r="D263" s="7"/>
      <c r="E263" s="7"/>
      <c r="F263" s="92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1"/>
      <c r="B264" s="1"/>
      <c r="C264" s="7"/>
      <c r="D264" s="7"/>
      <c r="E264" s="7"/>
      <c r="F264" s="92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1"/>
      <c r="B265" s="1"/>
      <c r="C265" s="7"/>
      <c r="D265" s="7"/>
      <c r="E265" s="7"/>
      <c r="F265" s="92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1"/>
      <c r="B266" s="1"/>
      <c r="C266" s="7"/>
      <c r="D266" s="7"/>
      <c r="E266" s="7"/>
      <c r="F266" s="92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1"/>
      <c r="B267" s="1"/>
      <c r="C267" s="7"/>
      <c r="D267" s="7"/>
      <c r="E267" s="7"/>
      <c r="F267" s="92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1"/>
      <c r="B268" s="1"/>
      <c r="C268" s="7"/>
      <c r="D268" s="7"/>
      <c r="E268" s="7"/>
      <c r="F268" s="92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1"/>
      <c r="B269" s="1"/>
      <c r="C269" s="7"/>
      <c r="D269" s="7"/>
      <c r="E269" s="7"/>
      <c r="F269" s="92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1"/>
      <c r="B270" s="1"/>
      <c r="C270" s="7"/>
      <c r="D270" s="7"/>
      <c r="E270" s="7"/>
      <c r="F270" s="92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1"/>
      <c r="B271" s="1"/>
      <c r="C271" s="7"/>
      <c r="D271" s="7"/>
      <c r="E271" s="7"/>
      <c r="F271" s="92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1"/>
      <c r="B272" s="1"/>
      <c r="C272" s="7"/>
      <c r="D272" s="7"/>
      <c r="E272" s="7"/>
      <c r="F272" s="92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1"/>
      <c r="B273" s="1"/>
      <c r="C273" s="7"/>
      <c r="D273" s="7"/>
      <c r="E273" s="7"/>
      <c r="F273" s="92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1"/>
      <c r="B274" s="1"/>
      <c r="C274" s="7"/>
      <c r="D274" s="7"/>
      <c r="E274" s="7"/>
      <c r="F274" s="92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1"/>
      <c r="B275" s="1"/>
      <c r="C275" s="7"/>
      <c r="D275" s="7"/>
      <c r="E275" s="7"/>
      <c r="F275" s="92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1"/>
      <c r="B276" s="1"/>
      <c r="C276" s="7"/>
      <c r="D276" s="7"/>
      <c r="E276" s="7"/>
      <c r="F276" s="92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1"/>
      <c r="B277" s="1"/>
      <c r="C277" s="7"/>
      <c r="D277" s="7"/>
      <c r="E277" s="7"/>
      <c r="F277" s="92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1"/>
      <c r="B278" s="1"/>
      <c r="C278" s="7"/>
      <c r="D278" s="7"/>
      <c r="E278" s="7"/>
      <c r="F278" s="92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1"/>
      <c r="B279" s="1"/>
      <c r="C279" s="7"/>
      <c r="D279" s="7"/>
      <c r="E279" s="7"/>
      <c r="F279" s="92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1"/>
      <c r="B280" s="1"/>
      <c r="C280" s="7"/>
      <c r="D280" s="7"/>
      <c r="E280" s="7"/>
      <c r="F280" s="92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1"/>
      <c r="B281" s="1"/>
      <c r="C281" s="7"/>
      <c r="D281" s="7"/>
      <c r="E281" s="7"/>
      <c r="F281" s="92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1"/>
      <c r="B282" s="1"/>
      <c r="C282" s="7"/>
      <c r="D282" s="7"/>
      <c r="E282" s="7"/>
      <c r="F282" s="92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1"/>
      <c r="B283" s="1"/>
      <c r="C283" s="7"/>
      <c r="D283" s="7"/>
      <c r="E283" s="7"/>
      <c r="F283" s="92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1"/>
      <c r="B284" s="1"/>
      <c r="C284" s="7"/>
      <c r="D284" s="7"/>
      <c r="E284" s="7"/>
      <c r="F284" s="92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1"/>
      <c r="B285" s="1"/>
      <c r="C285" s="7"/>
      <c r="D285" s="7"/>
      <c r="E285" s="7"/>
      <c r="F285" s="92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1"/>
      <c r="B286" s="1"/>
      <c r="C286" s="7"/>
      <c r="D286" s="7"/>
      <c r="E286" s="7"/>
      <c r="F286" s="92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1"/>
      <c r="B287" s="1"/>
      <c r="C287" s="7"/>
      <c r="D287" s="7"/>
      <c r="E287" s="7"/>
      <c r="F287" s="92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1"/>
      <c r="B288" s="1"/>
      <c r="C288" s="7"/>
      <c r="D288" s="7"/>
      <c r="E288" s="7"/>
      <c r="F288" s="92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1"/>
      <c r="B289" s="1"/>
      <c r="C289" s="7"/>
      <c r="D289" s="7"/>
      <c r="E289" s="7"/>
      <c r="F289" s="92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1"/>
      <c r="B290" s="1"/>
      <c r="C290" s="7"/>
      <c r="D290" s="7"/>
      <c r="E290" s="7"/>
      <c r="F290" s="92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1"/>
      <c r="B291" s="1"/>
      <c r="C291" s="7"/>
      <c r="D291" s="7"/>
      <c r="E291" s="7"/>
      <c r="F291" s="92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1"/>
      <c r="B292" s="1"/>
      <c r="C292" s="7"/>
      <c r="D292" s="7"/>
      <c r="E292" s="7"/>
      <c r="F292" s="92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1"/>
      <c r="B293" s="1"/>
      <c r="C293" s="7"/>
      <c r="D293" s="7"/>
      <c r="E293" s="7"/>
      <c r="F293" s="92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1"/>
      <c r="B294" s="1"/>
      <c r="C294" s="7"/>
      <c r="D294" s="7"/>
      <c r="E294" s="7"/>
      <c r="F294" s="92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1"/>
      <c r="B295" s="1"/>
      <c r="C295" s="7"/>
      <c r="D295" s="7"/>
      <c r="E295" s="7"/>
      <c r="F295" s="92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1"/>
      <c r="B296" s="1"/>
      <c r="C296" s="7"/>
      <c r="D296" s="7"/>
      <c r="E296" s="7"/>
      <c r="F296" s="92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1"/>
      <c r="B297" s="1"/>
      <c r="C297" s="7"/>
      <c r="D297" s="7"/>
      <c r="E297" s="7"/>
      <c r="F297" s="92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1"/>
      <c r="B298" s="1"/>
      <c r="C298" s="7"/>
      <c r="D298" s="7"/>
      <c r="E298" s="7"/>
      <c r="F298" s="92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1"/>
      <c r="B299" s="1"/>
      <c r="C299" s="7"/>
      <c r="D299" s="7"/>
      <c r="E299" s="7"/>
      <c r="F299" s="92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1"/>
      <c r="B300" s="1"/>
      <c r="C300" s="7"/>
      <c r="D300" s="7"/>
      <c r="E300" s="7"/>
      <c r="F300" s="92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1"/>
      <c r="B301" s="1"/>
      <c r="C301" s="7"/>
      <c r="D301" s="7"/>
      <c r="E301" s="7"/>
      <c r="F301" s="92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1"/>
      <c r="B302" s="1"/>
      <c r="C302" s="7"/>
      <c r="D302" s="7"/>
      <c r="E302" s="7"/>
      <c r="F302" s="92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1"/>
      <c r="B303" s="1"/>
      <c r="C303" s="7"/>
      <c r="D303" s="7"/>
      <c r="E303" s="7"/>
      <c r="F303" s="92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1"/>
      <c r="B304" s="1"/>
      <c r="C304" s="7"/>
      <c r="D304" s="7"/>
      <c r="E304" s="7"/>
      <c r="F304" s="92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1"/>
      <c r="B305" s="1"/>
      <c r="C305" s="7"/>
      <c r="D305" s="7"/>
      <c r="E305" s="7"/>
      <c r="F305" s="92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1"/>
      <c r="B306" s="1"/>
      <c r="C306" s="7"/>
      <c r="D306" s="7"/>
      <c r="E306" s="7"/>
      <c r="F306" s="92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1"/>
      <c r="B307" s="1"/>
      <c r="C307" s="7"/>
      <c r="D307" s="7"/>
      <c r="E307" s="7"/>
      <c r="F307" s="92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1"/>
      <c r="B308" s="1"/>
      <c r="C308" s="7"/>
      <c r="D308" s="7"/>
      <c r="E308" s="7"/>
      <c r="F308" s="92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1"/>
      <c r="B309" s="1"/>
      <c r="C309" s="7"/>
      <c r="D309" s="7"/>
      <c r="E309" s="7"/>
      <c r="F309" s="92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1"/>
      <c r="B310" s="1"/>
      <c r="C310" s="7"/>
      <c r="D310" s="7"/>
      <c r="E310" s="7"/>
      <c r="F310" s="92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1"/>
      <c r="B311" s="1"/>
      <c r="C311" s="7"/>
      <c r="D311" s="7"/>
      <c r="E311" s="7"/>
      <c r="F311" s="92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1"/>
      <c r="B312" s="1"/>
      <c r="C312" s="7"/>
      <c r="D312" s="7"/>
      <c r="E312" s="7"/>
      <c r="F312" s="92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1"/>
      <c r="B313" s="1"/>
      <c r="C313" s="7"/>
      <c r="D313" s="7"/>
      <c r="E313" s="7"/>
      <c r="F313" s="92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1"/>
      <c r="B314" s="1"/>
      <c r="C314" s="7"/>
      <c r="D314" s="7"/>
      <c r="E314" s="7"/>
      <c r="F314" s="92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1"/>
      <c r="B315" s="1"/>
      <c r="C315" s="7"/>
      <c r="D315" s="7"/>
      <c r="E315" s="7"/>
      <c r="F315" s="92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1"/>
      <c r="B316" s="1"/>
      <c r="C316" s="7"/>
      <c r="D316" s="7"/>
      <c r="E316" s="7"/>
      <c r="F316" s="92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1"/>
      <c r="B317" s="1"/>
      <c r="C317" s="7"/>
      <c r="D317" s="7"/>
      <c r="E317" s="7"/>
      <c r="F317" s="92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1"/>
      <c r="B318" s="1"/>
      <c r="C318" s="7"/>
      <c r="D318" s="7"/>
      <c r="E318" s="7"/>
      <c r="F318" s="92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1"/>
      <c r="B319" s="1"/>
      <c r="C319" s="7"/>
      <c r="D319" s="7"/>
      <c r="E319" s="7"/>
      <c r="F319" s="92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1"/>
      <c r="B320" s="1"/>
      <c r="C320" s="7"/>
      <c r="D320" s="7"/>
      <c r="E320" s="7"/>
      <c r="F320" s="92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1"/>
      <c r="B321" s="1"/>
      <c r="C321" s="7"/>
      <c r="D321" s="7"/>
      <c r="E321" s="7"/>
      <c r="F321" s="92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1"/>
      <c r="B322" s="1"/>
      <c r="C322" s="7"/>
      <c r="D322" s="7"/>
      <c r="E322" s="7"/>
      <c r="F322" s="92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1"/>
      <c r="B323" s="1"/>
      <c r="C323" s="7"/>
      <c r="D323" s="7"/>
      <c r="E323" s="7"/>
      <c r="F323" s="92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1"/>
      <c r="B324" s="1"/>
      <c r="C324" s="7"/>
      <c r="D324" s="7"/>
      <c r="E324" s="7"/>
      <c r="F324" s="92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1"/>
      <c r="B325" s="1"/>
      <c r="C325" s="7"/>
      <c r="D325" s="7"/>
      <c r="E325" s="7"/>
      <c r="F325" s="92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1"/>
      <c r="B326" s="1"/>
      <c r="C326" s="7"/>
      <c r="D326" s="7"/>
      <c r="E326" s="7"/>
      <c r="F326" s="92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1"/>
      <c r="B327" s="1"/>
      <c r="C327" s="7"/>
      <c r="D327" s="7"/>
      <c r="E327" s="7"/>
      <c r="F327" s="92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1"/>
      <c r="B328" s="1"/>
      <c r="C328" s="7"/>
      <c r="D328" s="7"/>
      <c r="E328" s="7"/>
      <c r="F328" s="92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1"/>
      <c r="B329" s="1"/>
      <c r="C329" s="7"/>
      <c r="D329" s="7"/>
      <c r="E329" s="7"/>
      <c r="F329" s="92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1"/>
      <c r="B330" s="1"/>
      <c r="C330" s="7"/>
      <c r="D330" s="7"/>
      <c r="E330" s="7"/>
      <c r="F330" s="92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1"/>
      <c r="B331" s="1"/>
      <c r="C331" s="7"/>
      <c r="D331" s="7"/>
      <c r="E331" s="7"/>
      <c r="F331" s="92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1"/>
      <c r="B332" s="1"/>
      <c r="C332" s="7"/>
      <c r="D332" s="7"/>
      <c r="E332" s="7"/>
      <c r="F332" s="92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1"/>
      <c r="B333" s="1"/>
      <c r="C333" s="7"/>
      <c r="D333" s="7"/>
      <c r="E333" s="7"/>
      <c r="F333" s="92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1"/>
      <c r="B334" s="1"/>
      <c r="C334" s="7"/>
      <c r="D334" s="7"/>
      <c r="E334" s="7"/>
      <c r="F334" s="92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1"/>
      <c r="B335" s="1"/>
      <c r="C335" s="7"/>
      <c r="D335" s="7"/>
      <c r="E335" s="7"/>
      <c r="F335" s="92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1"/>
      <c r="B336" s="1"/>
      <c r="C336" s="7"/>
      <c r="D336" s="7"/>
      <c r="E336" s="7"/>
      <c r="F336" s="92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1"/>
      <c r="B337" s="1"/>
      <c r="C337" s="7"/>
      <c r="D337" s="7"/>
      <c r="E337" s="7"/>
      <c r="F337" s="92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1"/>
      <c r="B338" s="1"/>
      <c r="C338" s="7"/>
      <c r="D338" s="7"/>
      <c r="E338" s="7"/>
      <c r="F338" s="92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1"/>
      <c r="B339" s="1"/>
      <c r="C339" s="7"/>
      <c r="D339" s="7"/>
      <c r="E339" s="7"/>
      <c r="F339" s="92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1"/>
      <c r="B340" s="1"/>
      <c r="C340" s="7"/>
      <c r="D340" s="7"/>
      <c r="E340" s="7"/>
      <c r="F340" s="92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1"/>
      <c r="B341" s="1"/>
      <c r="C341" s="7"/>
      <c r="D341" s="7"/>
      <c r="E341" s="7"/>
      <c r="F341" s="92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1"/>
      <c r="B342" s="1"/>
      <c r="C342" s="7"/>
      <c r="D342" s="7"/>
      <c r="E342" s="7"/>
      <c r="F342" s="92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1"/>
      <c r="B343" s="1"/>
      <c r="C343" s="7"/>
      <c r="D343" s="7"/>
      <c r="E343" s="7"/>
      <c r="F343" s="92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1"/>
      <c r="B344" s="1"/>
      <c r="C344" s="7"/>
      <c r="D344" s="7"/>
      <c r="E344" s="7"/>
      <c r="F344" s="92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1"/>
      <c r="B345" s="1"/>
      <c r="C345" s="7"/>
      <c r="D345" s="7"/>
      <c r="E345" s="7"/>
      <c r="F345" s="92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1"/>
      <c r="B346" s="1"/>
      <c r="C346" s="7"/>
      <c r="D346" s="7"/>
      <c r="E346" s="7"/>
      <c r="F346" s="92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1"/>
      <c r="B347" s="1"/>
      <c r="C347" s="7"/>
      <c r="D347" s="7"/>
      <c r="E347" s="7"/>
      <c r="F347" s="92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1"/>
      <c r="B348" s="1"/>
      <c r="C348" s="7"/>
      <c r="D348" s="7"/>
      <c r="E348" s="7"/>
      <c r="F348" s="92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1"/>
      <c r="B349" s="1"/>
      <c r="C349" s="7"/>
      <c r="D349" s="7"/>
      <c r="E349" s="7"/>
      <c r="F349" s="92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1"/>
      <c r="B350" s="1"/>
      <c r="C350" s="7"/>
      <c r="D350" s="7"/>
      <c r="E350" s="7"/>
      <c r="F350" s="92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1"/>
      <c r="B351" s="1"/>
      <c r="C351" s="7"/>
      <c r="D351" s="7"/>
      <c r="E351" s="7"/>
      <c r="F351" s="92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1"/>
      <c r="B352" s="1"/>
      <c r="C352" s="7"/>
      <c r="D352" s="7"/>
      <c r="E352" s="7"/>
      <c r="F352" s="92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1"/>
      <c r="B353" s="1"/>
      <c r="C353" s="7"/>
      <c r="D353" s="7"/>
      <c r="E353" s="7"/>
      <c r="F353" s="92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1"/>
      <c r="B354" s="1"/>
      <c r="C354" s="7"/>
      <c r="D354" s="7"/>
      <c r="E354" s="7"/>
      <c r="F354" s="92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1"/>
      <c r="B355" s="1"/>
      <c r="C355" s="7"/>
      <c r="D355" s="7"/>
      <c r="E355" s="7"/>
      <c r="F355" s="92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1"/>
      <c r="B356" s="1"/>
      <c r="C356" s="7"/>
      <c r="D356" s="7"/>
      <c r="E356" s="7"/>
      <c r="F356" s="92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92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92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92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92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92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92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92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92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92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92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92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92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92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92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92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92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92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92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92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92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92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92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92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92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92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92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92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92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92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92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92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92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92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92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92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92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92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92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92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92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92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92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92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92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92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92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92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92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92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92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92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92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92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92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92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92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92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92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92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92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92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92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92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92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92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92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92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92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92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92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92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92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92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92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92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92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92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92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92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92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92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92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92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92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92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92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92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92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92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92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92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92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92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92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92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92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92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92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92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92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92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92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92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92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92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92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92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92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92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92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92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92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92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92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92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92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92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92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92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92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92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92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92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92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92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92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92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92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92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92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92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92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92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92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92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92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92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92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92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92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92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92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92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92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92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92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92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92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92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92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92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92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92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92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92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92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92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92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92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92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92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92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92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92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92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92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92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92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92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92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92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92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92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92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92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92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92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92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92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92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92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92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92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92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92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92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92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92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92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92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92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92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92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92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92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92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92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92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92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92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92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92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92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92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92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92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92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92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92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92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92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92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92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92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92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92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92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92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92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92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92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92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92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92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92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92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92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92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92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92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92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92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92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92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92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92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92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92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92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92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92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92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92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92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92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92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92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92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92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92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92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92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92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92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92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92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92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92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92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92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92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92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92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92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92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92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92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92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92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92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92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92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92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92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92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92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92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92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92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92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92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92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92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92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92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92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92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92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92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92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92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92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92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92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92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92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92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92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92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92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92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92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92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92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92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92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92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92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92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92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92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92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92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92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92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92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92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92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92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92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92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92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92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92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92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92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92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92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92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92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92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92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92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92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92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92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92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92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92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92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92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92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92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92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92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92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92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92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92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92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92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92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92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92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92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92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92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92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92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92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92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92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92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92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92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92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92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92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92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92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92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92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92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92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92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92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92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92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92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92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92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92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92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92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92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92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92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92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92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92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92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92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92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92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92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92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92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92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92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92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92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92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92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92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92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92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92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92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92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92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92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92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92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92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92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92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92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92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92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92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92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92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92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92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92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92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92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92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92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92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92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92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92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92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92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92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92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92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92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92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92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92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92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92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92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92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92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92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92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92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92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92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92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92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92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92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92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92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92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92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92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92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92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92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92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92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92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92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92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92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92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92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92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92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92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92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92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92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92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92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92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92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92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92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92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92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92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92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92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92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92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92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92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92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92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92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92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92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92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92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92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92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92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92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92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92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92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92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92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92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92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92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92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92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92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92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92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92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92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92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92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92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92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92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92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92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92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92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92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92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92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92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92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92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92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92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92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92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92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92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92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92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92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92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92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92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92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92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92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92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92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92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92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92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92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92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92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92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92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92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92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92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92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92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92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92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92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92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92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92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92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92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92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92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92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92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92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92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92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92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92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92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92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92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92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92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92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92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92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92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92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92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92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92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92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92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92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92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92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92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92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92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92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92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92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92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92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92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92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92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92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92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92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92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92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92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92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92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92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92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92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92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92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92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92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92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92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92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92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92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92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92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92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92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92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92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92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92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7"/>
      <c r="D995" s="7"/>
      <c r="E995" s="7"/>
      <c r="F995" s="92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7"/>
      <c r="D996" s="7"/>
      <c r="E996" s="7"/>
      <c r="F996" s="92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7"/>
      <c r="D997" s="7"/>
      <c r="E997" s="7"/>
      <c r="F997" s="92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7"/>
      <c r="D998" s="7"/>
      <c r="E998" s="7"/>
      <c r="F998" s="92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5.75" customHeight="1">
      <c r="A999" s="7"/>
      <c r="B999" s="7"/>
      <c r="C999" s="7"/>
      <c r="D999" s="7"/>
      <c r="E999" s="7"/>
      <c r="F999" s="92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5.75" customHeight="1">
      <c r="A1000" s="7"/>
      <c r="B1000" s="7"/>
      <c r="C1000" s="7"/>
      <c r="D1000" s="7"/>
      <c r="E1000" s="7"/>
      <c r="F1000" s="92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5.75" customHeight="1">
      <c r="A1001" s="7"/>
      <c r="B1001" s="7"/>
      <c r="C1001" s="7"/>
      <c r="D1001" s="7"/>
      <c r="E1001" s="7"/>
      <c r="F1001" s="92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5.75" customHeight="1">
      <c r="A1002" s="7"/>
      <c r="B1002" s="7"/>
      <c r="C1002" s="7"/>
      <c r="D1002" s="7"/>
      <c r="E1002" s="7"/>
      <c r="F1002" s="92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5.75" customHeight="1">
      <c r="A1003" s="7"/>
      <c r="B1003" s="7"/>
      <c r="C1003" s="7"/>
      <c r="D1003" s="7"/>
      <c r="E1003" s="7"/>
      <c r="F1003" s="92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5.75" customHeight="1">
      <c r="A1004" s="7"/>
      <c r="B1004" s="7"/>
      <c r="C1004" s="7"/>
      <c r="D1004" s="7"/>
      <c r="E1004" s="7"/>
      <c r="F1004" s="92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5.75" customHeight="1">
      <c r="A1005" s="7"/>
      <c r="B1005" s="7"/>
      <c r="C1005" s="7"/>
      <c r="D1005" s="7"/>
      <c r="E1005" s="7"/>
      <c r="F1005" s="92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5.75" customHeight="1">
      <c r="A1006" s="7"/>
      <c r="B1006" s="7"/>
      <c r="C1006" s="7"/>
      <c r="D1006" s="7"/>
      <c r="E1006" s="7"/>
      <c r="F1006" s="92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ht="15.75" customHeight="1">
      <c r="A1007" s="7"/>
      <c r="B1007" s="7"/>
      <c r="C1007" s="7"/>
      <c r="D1007" s="7"/>
      <c r="E1007" s="7"/>
      <c r="F1007" s="92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ht="15.75" customHeight="1">
      <c r="A1008" s="7"/>
      <c r="B1008" s="7"/>
      <c r="C1008" s="7"/>
      <c r="D1008" s="7"/>
      <c r="E1008" s="7"/>
      <c r="F1008" s="92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ht="15.75" customHeight="1">
      <c r="A1009" s="7"/>
      <c r="B1009" s="7"/>
      <c r="C1009" s="7"/>
      <c r="D1009" s="7"/>
      <c r="E1009" s="7"/>
      <c r="F1009" s="92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ht="15.75" customHeight="1">
      <c r="A1010" s="7"/>
      <c r="B1010" s="7"/>
      <c r="C1010" s="7"/>
      <c r="D1010" s="7"/>
      <c r="E1010" s="7"/>
      <c r="F1010" s="92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ht="15.75" customHeight="1">
      <c r="A1011" s="7"/>
      <c r="B1011" s="7"/>
      <c r="C1011" s="7"/>
      <c r="D1011" s="7"/>
      <c r="E1011" s="7"/>
      <c r="F1011" s="92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ht="15.75" customHeight="1">
      <c r="A1012" s="7"/>
      <c r="B1012" s="7"/>
      <c r="C1012" s="7"/>
      <c r="D1012" s="7"/>
      <c r="E1012" s="7"/>
      <c r="F1012" s="92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ht="15.75" customHeight="1">
      <c r="A1013" s="7"/>
      <c r="B1013" s="7"/>
      <c r="C1013" s="7"/>
      <c r="D1013" s="7"/>
      <c r="E1013" s="7"/>
      <c r="F1013" s="92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ht="15.75" customHeight="1">
      <c r="A1014" s="7"/>
      <c r="B1014" s="7"/>
      <c r="C1014" s="7"/>
      <c r="D1014" s="7"/>
      <c r="E1014" s="7"/>
      <c r="F1014" s="92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ht="15.75" customHeight="1">
      <c r="A1015" s="7"/>
      <c r="B1015" s="7"/>
      <c r="C1015" s="7"/>
      <c r="D1015" s="7"/>
      <c r="E1015" s="7"/>
      <c r="F1015" s="92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ht="15.75" customHeight="1">
      <c r="A1016" s="7"/>
      <c r="B1016" s="7"/>
      <c r="C1016" s="7"/>
      <c r="D1016" s="7"/>
      <c r="E1016" s="7"/>
      <c r="F1016" s="92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ht="15.75" customHeight="1">
      <c r="A1017" s="7"/>
      <c r="B1017" s="7"/>
      <c r="C1017" s="7"/>
      <c r="D1017" s="7"/>
      <c r="E1017" s="7"/>
      <c r="F1017" s="92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ht="15.75" customHeight="1">
      <c r="A1018" s="7"/>
      <c r="B1018" s="7"/>
      <c r="C1018" s="7"/>
      <c r="D1018" s="7"/>
      <c r="E1018" s="7"/>
      <c r="F1018" s="92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ht="15.75" customHeight="1">
      <c r="A1019" s="7"/>
      <c r="B1019" s="7"/>
      <c r="C1019" s="7"/>
      <c r="D1019" s="7"/>
      <c r="E1019" s="7"/>
      <c r="F1019" s="92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ht="15.75" customHeight="1">
      <c r="A1020" s="7"/>
      <c r="B1020" s="7"/>
      <c r="C1020" s="7"/>
      <c r="D1020" s="7"/>
      <c r="E1020" s="7"/>
      <c r="F1020" s="92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ht="15.75" customHeight="1">
      <c r="A1021" s="7"/>
      <c r="B1021" s="7"/>
      <c r="C1021" s="7"/>
      <c r="D1021" s="7"/>
      <c r="E1021" s="7"/>
      <c r="F1021" s="92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ht="15.75" customHeight="1">
      <c r="A1022" s="7"/>
      <c r="B1022" s="7"/>
      <c r="C1022" s="7"/>
      <c r="D1022" s="7"/>
      <c r="E1022" s="7"/>
      <c r="F1022" s="92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ht="15.75" customHeight="1">
      <c r="A1023" s="7"/>
      <c r="B1023" s="7"/>
      <c r="C1023" s="7"/>
      <c r="D1023" s="7"/>
      <c r="E1023" s="7"/>
      <c r="F1023" s="92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ht="15.75" customHeight="1">
      <c r="A1024" s="7"/>
      <c r="B1024" s="7"/>
      <c r="C1024" s="7"/>
      <c r="D1024" s="7"/>
      <c r="E1024" s="7"/>
      <c r="F1024" s="92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ht="15.75" customHeight="1">
      <c r="A1025" s="7"/>
      <c r="B1025" s="7"/>
      <c r="C1025" s="7"/>
      <c r="D1025" s="7"/>
      <c r="E1025" s="7"/>
      <c r="F1025" s="92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ht="15.75" customHeight="1">
      <c r="A1026" s="7"/>
      <c r="B1026" s="7"/>
      <c r="C1026" s="7"/>
      <c r="D1026" s="7"/>
      <c r="E1026" s="7"/>
      <c r="F1026" s="92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ht="15.75" customHeight="1">
      <c r="A1027" s="7"/>
      <c r="B1027" s="7"/>
      <c r="C1027" s="7"/>
      <c r="D1027" s="7"/>
      <c r="E1027" s="7"/>
      <c r="F1027" s="92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ht="15.75" customHeight="1">
      <c r="A1028" s="7"/>
      <c r="B1028" s="7"/>
      <c r="C1028" s="7"/>
      <c r="D1028" s="7"/>
      <c r="E1028" s="7"/>
      <c r="F1028" s="92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ht="15.75" customHeight="1">
      <c r="A1029" s="7"/>
      <c r="B1029" s="7"/>
      <c r="C1029" s="7"/>
      <c r="D1029" s="7"/>
      <c r="E1029" s="7"/>
      <c r="F1029" s="92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ht="15.75" customHeight="1">
      <c r="A1030" s="7"/>
      <c r="B1030" s="7"/>
      <c r="C1030" s="7"/>
      <c r="D1030" s="7"/>
      <c r="E1030" s="7"/>
      <c r="F1030" s="92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ht="15.75" customHeight="1">
      <c r="A1031" s="7"/>
      <c r="B1031" s="7"/>
      <c r="C1031" s="7"/>
      <c r="D1031" s="7"/>
      <c r="E1031" s="7"/>
      <c r="F1031" s="92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ht="15.75" customHeight="1">
      <c r="A1032" s="7"/>
      <c r="B1032" s="7"/>
      <c r="C1032" s="7"/>
      <c r="D1032" s="7"/>
      <c r="E1032" s="7"/>
      <c r="F1032" s="92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ht="15.75" customHeight="1">
      <c r="A1033" s="7"/>
      <c r="B1033" s="7"/>
      <c r="C1033" s="7"/>
      <c r="D1033" s="7"/>
      <c r="E1033" s="7"/>
      <c r="F1033" s="92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ht="15.75" customHeight="1">
      <c r="A1034" s="7"/>
      <c r="B1034" s="7"/>
      <c r="C1034" s="7"/>
      <c r="D1034" s="7"/>
      <c r="E1034" s="7"/>
      <c r="F1034" s="92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ht="15.75" customHeight="1">
      <c r="A1035" s="7"/>
      <c r="B1035" s="7"/>
      <c r="C1035" s="7"/>
      <c r="D1035" s="7"/>
      <c r="E1035" s="7"/>
      <c r="F1035" s="92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ht="15.75" customHeight="1">
      <c r="A1036" s="7"/>
      <c r="B1036" s="7"/>
      <c r="C1036" s="7"/>
      <c r="D1036" s="7"/>
      <c r="E1036" s="7"/>
      <c r="F1036" s="92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ht="15.75" customHeight="1">
      <c r="A1037" s="7"/>
      <c r="B1037" s="7"/>
      <c r="C1037" s="7"/>
      <c r="D1037" s="7"/>
      <c r="E1037" s="7"/>
      <c r="F1037" s="92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ht="15.75" customHeight="1">
      <c r="A1038" s="7"/>
      <c r="B1038" s="7"/>
      <c r="C1038" s="7"/>
      <c r="D1038" s="7"/>
      <c r="E1038" s="7"/>
      <c r="F1038" s="92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ht="15.75" customHeight="1">
      <c r="A1039" s="7"/>
      <c r="B1039" s="7"/>
      <c r="C1039" s="7"/>
      <c r="D1039" s="7"/>
      <c r="E1039" s="7"/>
      <c r="F1039" s="92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ht="15.75" customHeight="1">
      <c r="A1040" s="7"/>
      <c r="B1040" s="7"/>
      <c r="C1040" s="7"/>
      <c r="D1040" s="7"/>
      <c r="E1040" s="7"/>
      <c r="F1040" s="92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ht="15.75" customHeight="1">
      <c r="A1041" s="7"/>
      <c r="B1041" s="7"/>
      <c r="C1041" s="7"/>
      <c r="D1041" s="7"/>
      <c r="E1041" s="7"/>
      <c r="F1041" s="92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ht="15.75" customHeight="1">
      <c r="A1042" s="7"/>
      <c r="B1042" s="7"/>
      <c r="C1042" s="7"/>
      <c r="D1042" s="7"/>
      <c r="E1042" s="7"/>
      <c r="F1042" s="92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ht="15.75" customHeight="1">
      <c r="A1043" s="7"/>
      <c r="B1043" s="7"/>
      <c r="C1043" s="7"/>
      <c r="D1043" s="7"/>
      <c r="E1043" s="7"/>
      <c r="F1043" s="92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ht="15.75" customHeight="1">
      <c r="A1044" s="7"/>
      <c r="B1044" s="7"/>
      <c r="C1044" s="7"/>
      <c r="D1044" s="7"/>
      <c r="E1044" s="7"/>
      <c r="F1044" s="92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ht="15.75" customHeight="1">
      <c r="A1045" s="7"/>
      <c r="B1045" s="7"/>
      <c r="C1045" s="7"/>
      <c r="D1045" s="7"/>
      <c r="E1045" s="7"/>
      <c r="F1045" s="92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ht="15.75" customHeight="1">
      <c r="A1046" s="7"/>
      <c r="B1046" s="7"/>
      <c r="C1046" s="7"/>
      <c r="D1046" s="7"/>
      <c r="E1046" s="7"/>
      <c r="F1046" s="92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ht="15.75" customHeight="1">
      <c r="A1047" s="7"/>
      <c r="B1047" s="7"/>
      <c r="C1047" s="7"/>
      <c r="D1047" s="7"/>
      <c r="E1047" s="7"/>
      <c r="F1047" s="92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ht="15.75" customHeight="1">
      <c r="A1048" s="7"/>
      <c r="B1048" s="7"/>
      <c r="C1048" s="7"/>
      <c r="D1048" s="7"/>
      <c r="E1048" s="7"/>
      <c r="F1048" s="92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ht="15.75" customHeight="1">
      <c r="A1049" s="7"/>
      <c r="B1049" s="7"/>
      <c r="C1049" s="7"/>
      <c r="D1049" s="7"/>
      <c r="E1049" s="7"/>
      <c r="F1049" s="92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ht="15.75" customHeight="1">
      <c r="A1050" s="7"/>
      <c r="B1050" s="7"/>
      <c r="C1050" s="7"/>
      <c r="D1050" s="7"/>
      <c r="E1050" s="7"/>
      <c r="F1050" s="92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ht="15.75" customHeight="1">
      <c r="A1051" s="7"/>
      <c r="B1051" s="7"/>
      <c r="C1051" s="7"/>
      <c r="D1051" s="7"/>
      <c r="E1051" s="7"/>
      <c r="F1051" s="92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ht="15.75" customHeight="1">
      <c r="A1052" s="7"/>
      <c r="B1052" s="7"/>
      <c r="C1052" s="7"/>
      <c r="D1052" s="7"/>
      <c r="E1052" s="7"/>
      <c r="F1052" s="92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ht="15.75" customHeight="1">
      <c r="A1053" s="7"/>
      <c r="B1053" s="7"/>
      <c r="C1053" s="7"/>
      <c r="D1053" s="7"/>
      <c r="E1053" s="7"/>
      <c r="F1053" s="92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ht="15.75" customHeight="1">
      <c r="A1054" s="7"/>
      <c r="B1054" s="7"/>
      <c r="C1054" s="7"/>
      <c r="D1054" s="7"/>
      <c r="E1054" s="7"/>
      <c r="F1054" s="92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ht="15.75" customHeight="1">
      <c r="A1055" s="7"/>
      <c r="B1055" s="7"/>
      <c r="C1055" s="7"/>
      <c r="D1055" s="7"/>
      <c r="E1055" s="7"/>
      <c r="F1055" s="92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ht="15.75" customHeight="1">
      <c r="A1056" s="7"/>
      <c r="B1056" s="7"/>
      <c r="C1056" s="7"/>
      <c r="D1056" s="7"/>
      <c r="E1056" s="7"/>
      <c r="F1056" s="92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ht="15.75" customHeight="1">
      <c r="A1057" s="7"/>
      <c r="B1057" s="7"/>
      <c r="C1057" s="7"/>
      <c r="D1057" s="7"/>
      <c r="E1057" s="7"/>
      <c r="F1057" s="92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ht="15.75" customHeight="1">
      <c r="A1058" s="7"/>
      <c r="B1058" s="7"/>
      <c r="C1058" s="7"/>
      <c r="D1058" s="7"/>
      <c r="E1058" s="7"/>
      <c r="F1058" s="92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ht="15.75" customHeight="1">
      <c r="A1059" s="7"/>
      <c r="B1059" s="7"/>
      <c r="C1059" s="7"/>
      <c r="D1059" s="7"/>
      <c r="E1059" s="7"/>
      <c r="F1059" s="92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ht="15.75" customHeight="1">
      <c r="A1060" s="7"/>
      <c r="B1060" s="7"/>
      <c r="C1060" s="7"/>
      <c r="D1060" s="7"/>
      <c r="E1060" s="7"/>
      <c r="F1060" s="92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ht="15.75" customHeight="1">
      <c r="A1061" s="7"/>
      <c r="B1061" s="7"/>
      <c r="C1061" s="7"/>
      <c r="D1061" s="7"/>
      <c r="E1061" s="7"/>
      <c r="F1061" s="92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ht="15.75" customHeight="1">
      <c r="A1062" s="7"/>
      <c r="B1062" s="7"/>
      <c r="C1062" s="7"/>
      <c r="D1062" s="7"/>
      <c r="E1062" s="7"/>
      <c r="F1062" s="92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ht="15.75" customHeight="1">
      <c r="A1063" s="7"/>
      <c r="B1063" s="7"/>
      <c r="C1063" s="7"/>
      <c r="D1063" s="7"/>
      <c r="E1063" s="7"/>
      <c r="F1063" s="92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ht="15.75" customHeight="1">
      <c r="A1064" s="7"/>
      <c r="B1064" s="7"/>
      <c r="C1064" s="7"/>
      <c r="D1064" s="7"/>
      <c r="E1064" s="7"/>
      <c r="F1064" s="92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ht="15.75" customHeight="1">
      <c r="A1065" s="7"/>
      <c r="B1065" s="7"/>
      <c r="C1065" s="7"/>
      <c r="D1065" s="7"/>
      <c r="E1065" s="7"/>
      <c r="F1065" s="92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</sheetData>
  <autoFilter ref="$A$1:$AB$84"/>
  <hyperlinks>
    <hyperlink r:id="rId1" location="content" ref="K2"/>
    <hyperlink r:id="rId2" ref="K3"/>
    <hyperlink r:id="rId3" location="content" ref="K4"/>
    <hyperlink r:id="rId4" ref="K5"/>
    <hyperlink r:id="rId5" ref="K6"/>
    <hyperlink r:id="rId6" ref="K7"/>
    <hyperlink r:id="rId7" ref="K8"/>
    <hyperlink r:id="rId8" ref="K9"/>
    <hyperlink r:id="rId9" ref="K10"/>
    <hyperlink r:id="rId10" ref="K13"/>
    <hyperlink r:id="rId11" ref="K14"/>
    <hyperlink r:id="rId12" ref="K15"/>
    <hyperlink r:id="rId13" ref="K16"/>
    <hyperlink r:id="rId14" ref="K17"/>
    <hyperlink r:id="rId15" ref="K19"/>
    <hyperlink r:id="rId16" ref="K20"/>
    <hyperlink r:id="rId17" ref="K21"/>
    <hyperlink r:id="rId18" ref="K22"/>
    <hyperlink r:id="rId19" location="content" ref="X23"/>
    <hyperlink r:id="rId20" ref="X25"/>
    <hyperlink r:id="rId21" ref="X28"/>
    <hyperlink r:id="rId22" ref="K29"/>
    <hyperlink r:id="rId23" ref="X29"/>
    <hyperlink r:id="rId24" ref="Y29"/>
    <hyperlink r:id="rId25" ref="X30"/>
    <hyperlink r:id="rId26" ref="K31"/>
    <hyperlink r:id="rId27" ref="K35"/>
    <hyperlink r:id="rId28" ref="K36"/>
    <hyperlink r:id="rId29" ref="K37"/>
    <hyperlink r:id="rId30" ref="K38"/>
    <hyperlink r:id="rId31" location="content" ref="K40"/>
    <hyperlink r:id="rId32" ref="K42"/>
    <hyperlink r:id="rId33" ref="K44"/>
    <hyperlink r:id="rId34" ref="K45"/>
    <hyperlink r:id="rId35" ref="K47"/>
    <hyperlink r:id="rId36" ref="K48"/>
    <hyperlink r:id="rId37" ref="K49"/>
    <hyperlink r:id="rId38" ref="K50"/>
    <hyperlink r:id="rId39" ref="K51"/>
    <hyperlink r:id="rId40" ref="K52"/>
    <hyperlink r:id="rId41" ref="K53"/>
    <hyperlink r:id="rId42" ref="K55"/>
    <hyperlink r:id="rId43" ref="K56"/>
    <hyperlink r:id="rId44" ref="K57"/>
    <hyperlink r:id="rId45" ref="K59"/>
    <hyperlink r:id="rId46" ref="K61"/>
    <hyperlink r:id="rId47" ref="K65"/>
    <hyperlink r:id="rId48" ref="K66"/>
    <hyperlink r:id="rId49" ref="K72"/>
    <hyperlink r:id="rId50" ref="K75"/>
    <hyperlink r:id="rId51" ref="K80"/>
    <hyperlink r:id="rId52" ref="K83"/>
    <hyperlink r:id="rId53" ref="K86"/>
    <hyperlink r:id="rId54" ref="K91"/>
    <hyperlink r:id="rId55" ref="K9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